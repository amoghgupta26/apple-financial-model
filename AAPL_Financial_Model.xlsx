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DCF Valuation" sheetId="6" state="visible" r:id="rId8"/>
    <sheet name="Trading Comps" sheetId="7" state="visible" r:id="rId9"/>
    <sheet name="Sensitivity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<sst xmlns="http://schemas.openxmlformats.org/spreadsheetml/2006/main" count="351" uniqueCount="298">
  <si>
    <t xml:space="preserve">Apple Inc. (AAPL)
Financial Model &amp; DCF Valuation</t>
  </si>
  <si>
    <t xml:space="preserve">5-Year Historical Analysis  |  5-Year Projection  |  DCF Valuation  |  Trading Comps</t>
  </si>
  <si>
    <t xml:space="preserve">Company</t>
  </si>
  <si>
    <t xml:space="preserve">Apple Inc.</t>
  </si>
  <si>
    <t xml:space="preserve">Ticker</t>
  </si>
  <si>
    <t xml:space="preserve">AAPL</t>
  </si>
  <si>
    <t xml:space="preserve">Exchange</t>
  </si>
  <si>
    <t xml:space="preserve">NASDAQ</t>
  </si>
  <si>
    <t xml:space="preserve">Sector</t>
  </si>
  <si>
    <t xml:space="preserve">Technology</t>
  </si>
  <si>
    <t xml:space="preserve">Industry</t>
  </si>
  <si>
    <t xml:space="preserve">Consumer Electronics / Software</t>
  </si>
  <si>
    <t xml:space="preserve">Currency</t>
  </si>
  <si>
    <t xml:space="preserve">USD (in $millions unless noted)</t>
  </si>
  <si>
    <t xml:space="preserve">Fiscal Year End</t>
  </si>
  <si>
    <t xml:space="preserve">September 30</t>
  </si>
  <si>
    <t xml:space="preserve">Historical Period</t>
  </si>
  <si>
    <t xml:space="preserve">FY2019 – FY2023</t>
  </si>
  <si>
    <t xml:space="preserve">Projection Period</t>
  </si>
  <si>
    <t xml:space="preserve">FY2024E – FY2028E</t>
  </si>
  <si>
    <t xml:space="preserve">Share Price (Ref.)</t>
  </si>
  <si>
    <t xml:space="preserve">$195.00</t>
  </si>
  <si>
    <t xml:space="preserve">Shares Outstanding</t>
  </si>
  <si>
    <t xml:space="preserve">15,441M</t>
  </si>
  <si>
    <t xml:space="preserve">Market Cap (Ref.)</t>
  </si>
  <si>
    <t xml:space="preserve">$3,011B</t>
  </si>
  <si>
    <t xml:space="preserve">📋  Workbook Navigation</t>
  </si>
  <si>
    <t xml:space="preserve">Assumptions</t>
  </si>
  <si>
    <t xml:space="preserve">Key model drivers: growth rates, margins, WACC components</t>
  </si>
  <si>
    <t xml:space="preserve">Income Statement</t>
  </si>
  <si>
    <t xml:space="preserve">P&amp;L — 5 years historical + 5 years projected</t>
  </si>
  <si>
    <t xml:space="preserve">Balance Sheet</t>
  </si>
  <si>
    <t xml:space="preserve">Assets, liabilities, equity — historical + projected</t>
  </si>
  <si>
    <t xml:space="preserve">Cash Flow</t>
  </si>
  <si>
    <t xml:space="preserve">Operating / Investing / Financing — FCF build</t>
  </si>
  <si>
    <t xml:space="preserve">DCF Valuation</t>
  </si>
  <si>
    <t xml:space="preserve">WACC, terminal value, intrinsic value per share</t>
  </si>
  <si>
    <t xml:space="preserve">Trading Comps</t>
  </si>
  <si>
    <t xml:space="preserve">Peer benchmarking — EV/Revenue, EV/EBITDA, P/E</t>
  </si>
  <si>
    <t xml:space="preserve">Sensitivity Analysis</t>
  </si>
  <si>
    <t xml:space="preserve">WACC × Growth rate matrix — price range</t>
  </si>
  <si>
    <t xml:space="preserve">Key Model Assumptions — Apple Inc. (AAPL)</t>
  </si>
  <si>
    <t xml:space="preserve">INCOME STATEMENT DRIVERS</t>
  </si>
  <si>
    <t xml:space="preserve">Assumption</t>
  </si>
  <si>
    <t xml:space="preserve">Definition / Notes</t>
  </si>
  <si>
    <t xml:space="preserve">FY2024E</t>
  </si>
  <si>
    <t xml:space="preserve">FY2025E</t>
  </si>
  <si>
    <t xml:space="preserve">FY2026E</t>
  </si>
  <si>
    <t xml:space="preserve">FY2027E</t>
  </si>
  <si>
    <t xml:space="preserve">FY2028E</t>
  </si>
  <si>
    <t xml:space="preserve">Revenue Growth Rate</t>
  </si>
  <si>
    <t xml:space="preserve">YoY % change in total revenue</t>
  </si>
  <si>
    <t xml:space="preserve">Gross Profit Margin</t>
  </si>
  <si>
    <t xml:space="preserve">Gross profit as % of revenue</t>
  </si>
  <si>
    <t xml:space="preserve">R&amp;D Expense % Rev.</t>
  </si>
  <si>
    <t xml:space="preserve">R&amp;D as % of revenue</t>
  </si>
  <si>
    <t xml:space="preserve">SG&amp;A Expense % Rev.</t>
  </si>
  <si>
    <t xml:space="preserve">SG&amp;A as % of revenue</t>
  </si>
  <si>
    <t xml:space="preserve">Effective Tax Rate</t>
  </si>
  <si>
    <t xml:space="preserve">Income tax as % of pre-tax income</t>
  </si>
  <si>
    <t xml:space="preserve">D&amp;A % Revenue</t>
  </si>
  <si>
    <t xml:space="preserve">Depreciation &amp; Amortization</t>
  </si>
  <si>
    <t xml:space="preserve">BALANCE SHEET &amp; CASH FLOW DRIVERS</t>
  </si>
  <si>
    <t xml:space="preserve">CapEx % Revenue</t>
  </si>
  <si>
    <t xml:space="preserve">Capital expenditures / Revenue</t>
  </si>
  <si>
    <t xml:space="preserve">NWC % Revenue</t>
  </si>
  <si>
    <t xml:space="preserve">Net Working Capital / Revenue</t>
  </si>
  <si>
    <t xml:space="preserve">AR Days</t>
  </si>
  <si>
    <t xml:space="preserve">Accounts Receivable days outstanding</t>
  </si>
  <si>
    <t xml:space="preserve">Inventory Days</t>
  </si>
  <si>
    <t xml:space="preserve">Inventory days on hand</t>
  </si>
  <si>
    <t xml:space="preserve">AP Days</t>
  </si>
  <si>
    <t xml:space="preserve">Accounts Payable days outstanding</t>
  </si>
  <si>
    <t xml:space="preserve">WACC COMPONENTS</t>
  </si>
  <si>
    <t xml:space="preserve">Component</t>
  </si>
  <si>
    <t xml:space="preserve">Notes</t>
  </si>
  <si>
    <t xml:space="preserve">Value</t>
  </si>
  <si>
    <t xml:space="preserve">Risk-Free Rate</t>
  </si>
  <si>
    <t xml:space="preserve">10-year US Treasury yield (as of model date)</t>
  </si>
  <si>
    <t xml:space="preserve">Equity Risk Premium</t>
  </si>
  <si>
    <t xml:space="preserve">Historical ERP — Damodaran estimate</t>
  </si>
  <si>
    <t xml:space="preserve">Beta (Levered)</t>
  </si>
  <si>
    <t xml:space="preserve">5-year monthly vs S&amp;P 500; source: Bloomberg</t>
  </si>
  <si>
    <t xml:space="preserve">Cost of Equity (CAPM)</t>
  </si>
  <si>
    <t xml:space="preserve">≈rf + β × ERP</t>
  </si>
  <si>
    <t xml:space="preserve">Pre-Tax Cost of Debt</t>
  </si>
  <si>
    <t xml:space="preserve">Weighted avg yield on outstanding bonds</t>
  </si>
  <si>
    <t xml:space="preserve">Tax Rate</t>
  </si>
  <si>
    <t xml:space="preserve">Effective tax rate from income statement</t>
  </si>
  <si>
    <t xml:space="preserve">After-Tax Cost of Debt</t>
  </si>
  <si>
    <t xml:space="preserve">≈kd × (1 – Tax Rate)</t>
  </si>
  <si>
    <t xml:space="preserve">Equity Weight</t>
  </si>
  <si>
    <t xml:space="preserve">Market cap / (Market cap + Debt)</t>
  </si>
  <si>
    <t xml:space="preserve">Debt Weight</t>
  </si>
  <si>
    <t xml:space="preserve">Debt / (Market cap + Debt)</t>
  </si>
  <si>
    <t xml:space="preserve">WACC</t>
  </si>
  <si>
    <t xml:space="preserve">≈ke×We + Kd×Wd</t>
  </si>
  <si>
    <t xml:space="preserve">COLOR LEGEND</t>
  </si>
  <si>
    <t xml:space="preserve">  ■ Yellow background = Hardcoded input — user can change</t>
  </si>
  <si>
    <t xml:space="preserve">  ■ Blue text = Hardcoded number (input assumption)</t>
  </si>
  <si>
    <t xml:space="preserve">  ■ Black text = Calculated formula</t>
  </si>
  <si>
    <t xml:space="preserve">  ■ Blue-grey fill = Total / WACC output</t>
  </si>
  <si>
    <t xml:space="preserve">  ■ Green text = Cross-sheet link</t>
  </si>
  <si>
    <t xml:space="preserve">Income Statement — Apple Inc. (AAPL)  |  $ in Millions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</si>
  <si>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</si>
  <si>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</si>
  <si>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</si>
  <si>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</si>
  <si>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</si>
  <si>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◄  Historical  ►</t>
  </si>
  <si>
    <t xml:space="preserve">◄  Projected (Estimated)  ►</t>
  </si>
  <si>
    <t xml:space="preserve">REVENUE</t>
  </si>
  <si>
    <t xml:space="preserve">Revenue</t>
  </si>
  <si>
    <t xml:space="preserve">COST OF GOODS SOLD</t>
  </si>
  <si>
    <t xml:space="preserve">Cost of Revenue</t>
  </si>
  <si>
    <t xml:space="preserve">Gross Profit</t>
  </si>
  <si>
    <t xml:space="preserve">Gross Margin %</t>
  </si>
  <si>
    <t xml:space="preserve">OPERATING EXPENSES</t>
  </si>
  <si>
    <t xml:space="preserve">R&amp;D Expense</t>
  </si>
  <si>
    <t xml:space="preserve">SG&amp;A Expense</t>
  </si>
  <si>
    <t xml:space="preserve">Total OpEx</t>
  </si>
  <si>
    <t xml:space="preserve">Operating Income (EBIT)</t>
  </si>
  <si>
    <t xml:space="preserve">EBIT Margin %</t>
  </si>
  <si>
    <t xml:space="preserve">BELOW THE LINE</t>
  </si>
  <si>
    <t xml:space="preserve">Interest &amp; Other Income</t>
  </si>
  <si>
    <t xml:space="preserve">Pre-Tax Income (EBT)</t>
  </si>
  <si>
    <t xml:space="preserve">Income Tax Expense</t>
  </si>
  <si>
    <t xml:space="preserve">Net Income</t>
  </si>
  <si>
    <t xml:space="preserve">Net Margin %</t>
  </si>
  <si>
    <t xml:space="preserve">OTHER METRICS</t>
  </si>
  <si>
    <t xml:space="preserve">D&amp;A</t>
  </si>
  <si>
    <t xml:space="preserve">EBITDA</t>
  </si>
  <si>
    <t xml:space="preserve">EBITDA Margin %</t>
  </si>
  <si>
    <t xml:space="preserve">EPS (Diluted)</t>
  </si>
  <si>
    <t xml:space="preserve">Balance Sheet — Apple Inc. (AAPL)  |  $ in Millions</t>
  </si>
  <si>
    <t xml:space="preserve">ASSETS</t>
  </si>
  <si>
    <t xml:space="preserve">Current Assets</t>
  </si>
  <si>
    <t xml:space="preserve">Cash &amp; Equivalents</t>
  </si>
  <si>
    <t xml:space="preserve">Short-Term Investments</t>
  </si>
  <si>
    <t xml:space="preserve">Accounts Receivable</t>
  </si>
  <si>
    <t xml:space="preserve">Inventories</t>
  </si>
  <si>
    <t xml:space="preserve">Other Current Assets</t>
  </si>
  <si>
    <t xml:space="preserve">Total Current Assets</t>
  </si>
  <si>
    <t xml:space="preserve">PP&amp;E (Net)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</si>
  <si>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</si>
  <si>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</si>
  <si>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</si>
  <si>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</si>
  <si>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Short-Term Debt</t>
  </si>
  <si>
    <t xml:space="preserve">Other Current Liabilities</t>
  </si>
  <si>
    <t xml:space="preserve">Total Current Liabilities</t>
  </si>
  <si>
    <t xml:space="preserve">Long-Term Debt</t>
  </si>
  <si>
    <t xml:space="preserve">Total Liabilities</t>
  </si>
  <si>
    <t xml:space="preserve">EQUITY</t>
  </si>
  <si>
    <t xml:space="preserve">Total Equity</t>
  </si>
  <si>
    <t xml:space="preserve">TOTAL LIABILITIES &amp; EQUITY</t>
  </si>
  <si>
    <t xml:space="preserve">Cash Flow Statement — Apple Inc. (AAPL)  |  $ in Millions</t>
  </si>
  <si>
    <t xml:space="preserve">OPERATING ACTIVITIES</t>
  </si>
  <si>
    <t xml:space="preserve">(+) Depreciation &amp; Amortization</t>
  </si>
  <si>
    <t xml:space="preserve">(+/-) Changes in Working Capital</t>
  </si>
  <si>
    <t xml:space="preserve">Other Operating Items</t>
  </si>
  <si>
    <t xml:space="preserve">Cash from Operations</t>
  </si>
  <si>
    <t xml:space="preserve">INVESTING ACTIVITIES</t>
  </si>
  <si>
    <t xml:space="preserve">(-) Capital Expenditures</t>
  </si>
  <si>
    <t xml:space="preserve">(-) Acquisitions &amp; Investments</t>
  </si>
  <si>
    <t xml:space="preserve">Cash from Investing</t>
  </si>
  <si>
    <t xml:space="preserve">FINANCING ACTIVITIES</t>
  </si>
  <si>
    <t xml:space="preserve">Debt Issuance / (Repayment)</t>
  </si>
  <si>
    <t xml:space="preserve">Share Repurchases</t>
  </si>
  <si>
    <t xml:space="preserve">Dividends Paid</t>
  </si>
  <si>
    <t xml:space="preserve">Cash from Financing</t>
  </si>
  <si>
    <t xml:space="preserve">FREE CASH FLOW</t>
  </si>
  <si>
    <t xml:space="preserve">Free Cash Flow</t>
  </si>
  <si>
    <t xml:space="preserve">FCF Margin %</t>
  </si>
  <si>
    <t xml:space="preserve">YoY FCF Growth</t>
  </si>
  <si>
    <t xml:space="preserve">DCF Valuation — Apple Inc. (AAPL)  |  $ in Millions (except per share)</t>
  </si>
  <si>
    <t xml:space="preserve">FREE CASH FLOW PROJECTION</t>
  </si>
  <si>
    <t xml:space="preserve">Metric</t>
  </si>
  <si>
    <t xml:space="preserve">Revenue ($M)</t>
  </si>
  <si>
    <t xml:space="preserve">EBIT ($M)</t>
  </si>
  <si>
    <t xml:space="preserve">(-) Taxes on EBIT</t>
  </si>
  <si>
    <t xml:space="preserve">(+) D&amp;A ($M)</t>
  </si>
  <si>
    <t xml:space="preserve">(-) CapEx ($M)</t>
  </si>
  <si>
    <t xml:space="preserve">(-) Change in NWC ($M)</t>
  </si>
  <si>
    <t xml:space="preserve">Unlevered Free Cash Flow (UFCF)</t>
  </si>
  <si>
    <t xml:space="preserve">YoY UFCF Growth</t>
  </si>
  <si>
    <t xml:space="preserve">"-"</t>
  </si>
  <si>
    <t xml:space="preserve">DISCOUNT RATE &amp; PV OF FCFs</t>
  </si>
  <si>
    <t xml:space="preserve">Discount Period</t>
  </si>
  <si>
    <t xml:space="preserve">Discount Factor</t>
  </si>
  <si>
    <t xml:space="preserve">Present Value of UFCF</t>
  </si>
  <si>
    <t xml:space="preserve">Sum of PV (FCF)</t>
  </si>
  <si>
    <t xml:space="preserve">TERMINAL VALUE</t>
  </si>
  <si>
    <t xml:space="preserve">Terminal Growth Rate (Gordon)</t>
  </si>
  <si>
    <t xml:space="preserve">Terminal Year UFCF</t>
  </si>
  <si>
    <t xml:space="preserve">TV (Gordon Growth Model)</t>
  </si>
  <si>
    <t xml:space="preserve">Exit EBITDA Multiple</t>
  </si>
  <si>
    <t xml:space="preserve">Terminal Year EBITDA</t>
  </si>
  <si>
    <t xml:space="preserve">TV (Exit Multiple Method)</t>
  </si>
  <si>
    <t xml:space="preserve">Blended Terminal Value (avg)</t>
  </si>
  <si>
    <t xml:space="preserve">PV of Terminal Value</t>
  </si>
  <si>
    <t xml:space="preserve">TV as % of Total EV</t>
  </si>
  <si>
    <t xml:space="preserve">INTRINSIC VALUE SUMMARY</t>
  </si>
  <si>
    <t xml:space="preserve">PV of FCFs (Projection Period)</t>
  </si>
  <si>
    <t xml:space="preserve">(+) PV of Terminal Value</t>
  </si>
  <si>
    <t xml:space="preserve">Enterprise Value (EV)</t>
  </si>
  <si>
    <t xml:space="preserve">(-) Net Debt</t>
  </si>
  <si>
    <t xml:space="preserve">-65716</t>
  </si>
  <si>
    <t xml:space="preserve">Equity Value</t>
  </si>
  <si>
    <t xml:space="preserve">Shares Outstanding (M)</t>
  </si>
  <si>
    <t xml:space="preserve">15441</t>
  </si>
  <si>
    <t xml:space="preserve">Implied Share Price</t>
  </si>
  <si>
    <t xml:space="preserve">Current Share Price (Reference)</t>
  </si>
  <si>
    <t xml:space="preserve">195</t>
  </si>
  <si>
    <t xml:space="preserve">Upside / (Downside)</t>
  </si>
  <si>
    <t xml:space="preserve">Comparable Companies (Trading Comps) Analysis  |  Apple Inc. Peer Group</t>
  </si>
  <si>
    <t xml:space="preserve">Market data as of reference date | Source: Bloomberg / FactSet | $ in Billions</t>
  </si>
  <si>
    <t xml:space="preserve">Mkt Cap ($B)</t>
  </si>
  <si>
    <t xml:space="preserve">EV ($B)</t>
  </si>
  <si>
    <t xml:space="preserve">Revenue ($B)</t>
  </si>
  <si>
    <t xml:space="preserve">EBITDA ($B)</t>
  </si>
  <si>
    <t xml:space="preserve">EV/Revenue</t>
  </si>
  <si>
    <t xml:space="preserve">EV/EBITDA</t>
  </si>
  <si>
    <t xml:space="preserve">P/E</t>
  </si>
  <si>
    <t xml:space="preserve">Gross Margin</t>
  </si>
  <si>
    <t xml:space="preserve">Net Margin</t>
  </si>
  <si>
    <t xml:space="preserve">Apple (AAPL)</t>
  </si>
  <si>
    <t xml:space="preserve">7.6x</t>
  </si>
  <si>
    <t xml:space="preserve">23.2x</t>
  </si>
  <si>
    <t xml:space="preserve">29.4x</t>
  </si>
  <si>
    <t xml:space="preserve">43.8%</t>
  </si>
  <si>
    <t xml:space="preserve">25.1%</t>
  </si>
  <si>
    <t xml:space="preserve">Microsoft (MSFT)</t>
  </si>
  <si>
    <t xml:space="preserve">13.3x</t>
  </si>
  <si>
    <t xml:space="preserve">30.4x</t>
  </si>
  <si>
    <t xml:space="preserve">37.5x</t>
  </si>
  <si>
    <t xml:space="preserve">69.4%</t>
  </si>
  <si>
    <t xml:space="preserve">35.0%</t>
  </si>
  <si>
    <t xml:space="preserve">Alphabet (GOOGL)</t>
  </si>
  <si>
    <t xml:space="preserve">6.5x</t>
  </si>
  <si>
    <t xml:space="preserve">21.6x</t>
  </si>
  <si>
    <t xml:space="preserve">27.8x</t>
  </si>
  <si>
    <t xml:space="preserve">56.5%</t>
  </si>
  <si>
    <t xml:space="preserve">24.0%</t>
  </si>
  <si>
    <t xml:space="preserve">Meta Platforms (META)</t>
  </si>
  <si>
    <t xml:space="preserve">9.6x</t>
  </si>
  <si>
    <t xml:space="preserve">23.1x</t>
  </si>
  <si>
    <t xml:space="preserve">34.6x</t>
  </si>
  <si>
    <t xml:space="preserve">80.7%</t>
  </si>
  <si>
    <t xml:space="preserve">29.0%</t>
  </si>
  <si>
    <t xml:space="preserve">Samsung (005930)</t>
  </si>
  <si>
    <t xml:space="preserve">1.6x</t>
  </si>
  <si>
    <t xml:space="preserve">8.4x</t>
  </si>
  <si>
    <t xml:space="preserve">26.1x</t>
  </si>
  <si>
    <t xml:space="preserve">36.8%</t>
  </si>
  <si>
    <t xml:space="preserve">7.3%</t>
  </si>
  <si>
    <t xml:space="preserve">Sony (SONY)</t>
  </si>
  <si>
    <t xml:space="preserve">14.9x</t>
  </si>
  <si>
    <t xml:space="preserve">16.9x</t>
  </si>
  <si>
    <t xml:space="preserve">28.0%</t>
  </si>
  <si>
    <t xml:space="preserve">7.8%</t>
  </si>
  <si>
    <t xml:space="preserve">Min (ex. AAPL)</t>
  </si>
  <si>
    <t xml:space="preserve">Mean (ex. AAPL)</t>
  </si>
  <si>
    <t xml:space="preserve">20.0x</t>
  </si>
  <si>
    <t xml:space="preserve">Median (ex. AAPL)</t>
  </si>
  <si>
    <t xml:space="preserve">-</t>
  </si>
  <si>
    <t xml:space="preserve">Max (ex. AAPL)</t>
  </si>
  <si>
    <t xml:space="preserve">IMPLIED VALUATION FROM COMPS MULTIPLES</t>
  </si>
  <si>
    <t xml:space="preserve">AAPL LTM Revenue ($B)</t>
  </si>
  <si>
    <t xml:space="preserve">AAPL LTM EBITDA ($B)</t>
  </si>
  <si>
    <t xml:space="preserve">Median Peer EV/Revenue</t>
  </si>
  <si>
    <t xml:space="preserve">Median Peer EV/EBITDA</t>
  </si>
  <si>
    <t xml:space="preserve">Implied EV from EV/Revenue ($B)</t>
  </si>
  <si>
    <t xml:space="preserve">Implied EV from EV/EBITDA ($B)</t>
  </si>
  <si>
    <t xml:space="preserve">(-) Net Debt ($B)</t>
  </si>
  <si>
    <t xml:space="preserve">Implied Equity Value — EV/Rev ($B)</t>
  </si>
  <si>
    <t xml:space="preserve">Implied Equity Value — EV/EBITDA ($B)</t>
  </si>
  <si>
    <t xml:space="preserve">Shares Outstanding (B)</t>
  </si>
  <si>
    <t xml:space="preserve">Implied Share Price — EV/Revenue</t>
  </si>
  <si>
    <t xml:space="preserve">Implied Share Price — EV/EBITDA</t>
  </si>
  <si>
    <t xml:space="preserve">Sensitivity Analysis — WACC vs. Terminal Growth Rate  |  Implied Share Price</t>
  </si>
  <si>
    <t xml:space="preserve">DCF IMPLIED SHARE PRICE: WACC  ×  Terminal Growth Rate</t>
  </si>
  <si>
    <t xml:space="preserve">WACC →
TGR ↓</t>
  </si>
  <si>
    <t xml:space="preserve">COLOR LEGEND  (Base Case = WACC 10.0% / TGR 3.0% — highlighted with bold border)</t>
  </si>
  <si>
    <t xml:space="preserve">  ≥ $220  |  Strong Buy</t>
  </si>
  <si>
    <t xml:space="preserve">  $170 – $220  |  Buy / Outperform</t>
  </si>
  <si>
    <t xml:space="preserve">  $130 – $170  |  Hold / Market Perform</t>
  </si>
  <si>
    <t xml:space="preserve">  &lt; $130  |  Underperform / Sell</t>
  </si>
  <si>
    <t xml:space="preserve">  N/M — WACC ≤ TGR (invalid)</t>
  </si>
  <si>
    <t xml:space="preserve">EV/EBITDA EXIT MULTIPLE  ×  WACC — Implied Share Price</t>
  </si>
  <si>
    <t xml:space="preserve">WACC →
Mult ↓</t>
  </si>
  <si>
    <t xml:space="preserve">16x</t>
  </si>
  <si>
    <t xml:space="preserve">18x</t>
  </si>
  <si>
    <t xml:space="preserve">20x</t>
  </si>
  <si>
    <t xml:space="preserve">22x</t>
  </si>
  <si>
    <t xml:space="preserve">24x</t>
  </si>
  <si>
    <t xml:space="preserve">26x</t>
  </si>
  <si>
    <t xml:space="preserve">28x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</si>
</sst>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"/>
    <numFmt numFmtId="166" formatCode="0"/>
    <numFmt numFmtId="167" formatCode="0.00%"/>
    <numFmt numFmtId="168" formatCode="0.00"/>
    <numFmt numFmtId="169" formatCode="#,##0;\(#,##0\);\-"/>
    <numFmt numFmtId="170" formatCode="\$0.00"/>
    <numFmt numFmtId="171" formatCode="0.0%;\(0.0%\);\-"/>
    <numFmt numFmtId="172" formatCode="0.0"/>
    <numFmt numFmtId="173" formatCode="0.000"/>
    <numFmt numFmtId="174" formatCode="0.0\x"/>
    <numFmt numFmtId="175" formatCode="#,##0"/>
    <numFmt numFmtId="176" formatCode="\$#,##0.00"/>
    <numFmt numFmtId="177" formatCode="#,##0.0"/>
    <numFmt numFmtId="178" formatCode="@"/>
    <numFmt numFmtId="179" formatCode="#,##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00B05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9999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7FB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6E4F0"/>
      </patternFill>
    </fill>
    <fill>
      <patternFill patternType="solid">
        <fgColor rgb="FFFF0000"/>
        <bgColor rgb="FF993300"/>
      </patternFill>
    </fill>
    <fill>
      <patternFill patternType="solid">
        <fgColor rgb="FFFFEB9C"/>
        <bgColor rgb="FFFFCC99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999999"/>
      </patternFill>
    </fill>
    <fill>
      <patternFill patternType="solid">
        <fgColor rgb="FFCCCCCC"/>
        <bgColor rgb="FFB8CC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medium">
        <color rgb="FF2E75B6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9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B"/>
      <rgbColor rgb="FFD6E4F0"/>
      <rgbColor rgb="FF660066"/>
      <rgbColor rgb="FFFF8080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99999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4" min="2" style="1" width="14"/>
    <col collapsed="false" customWidth="true" hidden="false" outlineLevel="0" max="9" min="5" style="1" width="16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</row>
    <row r="5" customFormat="false" ht="30" hidden="false" customHeight="true" outlineLevel="0" collapsed="false">
      <c r="B5" s="2"/>
      <c r="C5" s="2"/>
      <c r="D5" s="2"/>
      <c r="E5" s="2"/>
      <c r="F5" s="2"/>
      <c r="G5" s="2"/>
      <c r="H5" s="2"/>
      <c r="I5" s="2"/>
      <c r="J5" s="2"/>
    </row>
    <row r="6" customFormat="false" ht="30" hidden="false" customHeight="true" outlineLevel="0" collapsed="false">
      <c r="B6" s="2"/>
      <c r="C6" s="2"/>
      <c r="D6" s="2"/>
      <c r="E6" s="2"/>
      <c r="F6" s="2"/>
      <c r="G6" s="2"/>
      <c r="H6" s="2"/>
      <c r="I6" s="2"/>
      <c r="J6" s="2"/>
    </row>
    <row r="7" customFormat="false" ht="30" hidden="false" customHeight="true" outlineLevel="0" collapsed="false">
      <c r="B7" s="2"/>
      <c r="C7" s="2"/>
      <c r="D7" s="2"/>
      <c r="E7" s="2"/>
      <c r="F7" s="2"/>
      <c r="G7" s="2"/>
      <c r="H7" s="2"/>
      <c r="I7" s="2"/>
      <c r="J7" s="2"/>
    </row>
    <row r="8" customFormat="false" ht="21.75" hidden="false" customHeight="true" outlineLevel="0" collapsed="false">
      <c r="B8" s="3" t="s">
        <v>1</v>
      </c>
      <c r="C8" s="3"/>
      <c r="D8" s="3"/>
      <c r="E8" s="3"/>
      <c r="F8" s="3"/>
      <c r="G8" s="3"/>
      <c r="H8" s="3"/>
      <c r="I8" s="3"/>
      <c r="J8" s="3"/>
    </row>
    <row r="9" customFormat="false" ht="9.75" hidden="false" customHeight="true" outlineLevel="0" collapsed="false"/>
    <row r="10" customFormat="false" ht="19.5" hidden="false" customHeight="true" outlineLevel="0" collapsed="false">
      <c r="B10" s="4" t="s">
        <v>2</v>
      </c>
      <c r="C10" s="4"/>
      <c r="D10" s="4"/>
      <c r="E10" s="5" t="s">
        <v>3</v>
      </c>
      <c r="F10" s="5"/>
      <c r="G10" s="5"/>
      <c r="H10" s="5"/>
      <c r="I10" s="5"/>
    </row>
    <row r="11" customFormat="false" ht="19.5" hidden="false" customHeight="true" outlineLevel="0" collapsed="false">
      <c r="B11" s="4" t="s">
        <v>4</v>
      </c>
      <c r="C11" s="4"/>
      <c r="D11" s="4"/>
      <c r="E11" s="6" t="s">
        <v>5</v>
      </c>
      <c r="F11" s="6"/>
      <c r="G11" s="6"/>
      <c r="H11" s="6"/>
      <c r="I11" s="6"/>
    </row>
    <row r="12" customFormat="false" ht="19.5" hidden="false" customHeight="true" outlineLevel="0" collapsed="false">
      <c r="B12" s="4" t="s">
        <v>6</v>
      </c>
      <c r="C12" s="4"/>
      <c r="D12" s="4"/>
      <c r="E12" s="5" t="s">
        <v>7</v>
      </c>
      <c r="F12" s="5"/>
      <c r="G12" s="5"/>
      <c r="H12" s="5"/>
      <c r="I12" s="5"/>
    </row>
    <row r="13" customFormat="false" ht="19.5" hidden="false" customHeight="true" outlineLevel="0" collapsed="false">
      <c r="B13" s="4" t="s">
        <v>8</v>
      </c>
      <c r="C13" s="4"/>
      <c r="D13" s="4"/>
      <c r="E13" s="6" t="s">
        <v>9</v>
      </c>
      <c r="F13" s="6"/>
      <c r="G13" s="6"/>
      <c r="H13" s="6"/>
      <c r="I13" s="6"/>
    </row>
    <row r="14" customFormat="false" ht="19.5" hidden="false" customHeight="true" outlineLevel="0" collapsed="false">
      <c r="B14" s="4" t="s">
        <v>10</v>
      </c>
      <c r="C14" s="4"/>
      <c r="D14" s="4"/>
      <c r="E14" s="5" t="s">
        <v>11</v>
      </c>
      <c r="F14" s="5"/>
      <c r="G14" s="5"/>
      <c r="H14" s="5"/>
      <c r="I14" s="5"/>
    </row>
    <row r="15" customFormat="false" ht="19.5" hidden="false" customHeight="true" outlineLevel="0" collapsed="false">
      <c r="B15" s="4" t="s">
        <v>12</v>
      </c>
      <c r="C15" s="4"/>
      <c r="D15" s="4"/>
      <c r="E15" s="6" t="s">
        <v>13</v>
      </c>
      <c r="F15" s="6"/>
      <c r="G15" s="6"/>
      <c r="H15" s="6"/>
      <c r="I15" s="6"/>
    </row>
    <row r="16" customFormat="false" ht="19.5" hidden="false" customHeight="true" outlineLevel="0" collapsed="false">
      <c r="B16" s="4" t="s">
        <v>14</v>
      </c>
      <c r="C16" s="4"/>
      <c r="D16" s="4"/>
      <c r="E16" s="5" t="s">
        <v>15</v>
      </c>
      <c r="F16" s="5"/>
      <c r="G16" s="5"/>
      <c r="H16" s="5"/>
      <c r="I16" s="5"/>
    </row>
    <row r="17" customFormat="false" ht="19.5" hidden="false" customHeight="true" outlineLevel="0" collapsed="false">
      <c r="B17" s="4" t="s">
        <v>16</v>
      </c>
      <c r="C17" s="4"/>
      <c r="D17" s="4"/>
      <c r="E17" s="6" t="s">
        <v>17</v>
      </c>
      <c r="F17" s="6"/>
      <c r="G17" s="6"/>
      <c r="H17" s="6"/>
      <c r="I17" s="6"/>
    </row>
    <row r="18" customFormat="false" ht="19.5" hidden="false" customHeight="true" outlineLevel="0" collapsed="false">
      <c r="B18" s="4" t="s">
        <v>18</v>
      </c>
      <c r="C18" s="4"/>
      <c r="D18" s="4"/>
      <c r="E18" s="5" t="s">
        <v>19</v>
      </c>
      <c r="F18" s="5"/>
      <c r="G18" s="5"/>
      <c r="H18" s="5"/>
      <c r="I18" s="5"/>
    </row>
    <row r="19" customFormat="false" ht="19.5" hidden="false" customHeight="true" outlineLevel="0" collapsed="false">
      <c r="B19" s="4" t="s">
        <v>20</v>
      </c>
      <c r="C19" s="4"/>
      <c r="D19" s="4"/>
      <c r="E19" s="6" t="s">
        <v>21</v>
      </c>
      <c r="F19" s="6"/>
      <c r="G19" s="6"/>
      <c r="H19" s="6"/>
      <c r="I19" s="6"/>
    </row>
    <row r="20" customFormat="false" ht="19.5" hidden="false" customHeight="true" outlineLevel="0" collapsed="false">
      <c r="B20" s="4" t="s">
        <v>22</v>
      </c>
      <c r="C20" s="4"/>
      <c r="D20" s="4"/>
      <c r="E20" s="5" t="s">
        <v>23</v>
      </c>
      <c r="F20" s="5"/>
      <c r="G20" s="5"/>
      <c r="H20" s="5"/>
      <c r="I20" s="5"/>
    </row>
    <row r="21" customFormat="false" ht="19.5" hidden="false" customHeight="true" outlineLevel="0" collapsed="false">
      <c r="B21" s="4" t="s">
        <v>24</v>
      </c>
      <c r="C21" s="4"/>
      <c r="D21" s="4"/>
      <c r="E21" s="6" t="s">
        <v>25</v>
      </c>
      <c r="F21" s="6"/>
      <c r="G21" s="6"/>
      <c r="H21" s="6"/>
      <c r="I21" s="6"/>
    </row>
    <row r="23" customFormat="false" ht="21.75" hidden="false" customHeight="true" outlineLevel="0" collapsed="false">
      <c r="B23" s="7" t="s">
        <v>26</v>
      </c>
      <c r="C23" s="7"/>
      <c r="D23" s="7"/>
      <c r="E23" s="7"/>
      <c r="F23" s="7"/>
      <c r="G23" s="7"/>
      <c r="H23" s="7"/>
      <c r="I23" s="7"/>
      <c r="J23" s="7"/>
    </row>
    <row r="24" customFormat="false" ht="19.5" hidden="false" customHeight="true" outlineLevel="0" collapsed="false">
      <c r="B24" s="8" t="s">
        <v>27</v>
      </c>
      <c r="C24" s="8"/>
      <c r="D24" s="8"/>
      <c r="E24" s="9" t="s">
        <v>28</v>
      </c>
      <c r="F24" s="9"/>
      <c r="G24" s="9"/>
      <c r="H24" s="9"/>
      <c r="I24" s="9"/>
    </row>
    <row r="25" customFormat="false" ht="19.5" hidden="false" customHeight="true" outlineLevel="0" collapsed="false">
      <c r="B25" s="10" t="s">
        <v>29</v>
      </c>
      <c r="C25" s="10"/>
      <c r="D25" s="10"/>
      <c r="E25" s="11" t="s">
        <v>30</v>
      </c>
      <c r="F25" s="11"/>
      <c r="G25" s="11"/>
      <c r="H25" s="11"/>
      <c r="I25" s="11"/>
    </row>
    <row r="26" customFormat="false" ht="19.5" hidden="false" customHeight="true" outlineLevel="0" collapsed="false">
      <c r="B26" s="8" t="s">
        <v>31</v>
      </c>
      <c r="C26" s="8"/>
      <c r="D26" s="8"/>
      <c r="E26" s="9" t="s">
        <v>32</v>
      </c>
      <c r="F26" s="9"/>
      <c r="G26" s="9"/>
      <c r="H26" s="9"/>
      <c r="I26" s="9"/>
    </row>
    <row r="27" customFormat="false" ht="19.5" hidden="false" customHeight="true" outlineLevel="0" collapsed="false">
      <c r="B27" s="10" t="s">
        <v>33</v>
      </c>
      <c r="C27" s="10"/>
      <c r="D27" s="10"/>
      <c r="E27" s="11" t="s">
        <v>34</v>
      </c>
      <c r="F27" s="11"/>
      <c r="G27" s="11"/>
      <c r="H27" s="11"/>
      <c r="I27" s="11"/>
    </row>
    <row r="28" customFormat="false" ht="19.5" hidden="false" customHeight="true" outlineLevel="0" collapsed="false">
      <c r="B28" s="8" t="s">
        <v>35</v>
      </c>
      <c r="C28" s="8"/>
      <c r="D28" s="8"/>
      <c r="E28" s="9" t="s">
        <v>36</v>
      </c>
      <c r="F28" s="9"/>
      <c r="G28" s="9"/>
      <c r="H28" s="9"/>
      <c r="I28" s="9"/>
    </row>
    <row r="29" customFormat="false" ht="19.5" hidden="false" customHeight="true" outlineLevel="0" collapsed="false">
      <c r="B29" s="10" t="s">
        <v>37</v>
      </c>
      <c r="C29" s="10"/>
      <c r="D29" s="10"/>
      <c r="E29" s="11" t="s">
        <v>38</v>
      </c>
      <c r="F29" s="11"/>
      <c r="G29" s="11"/>
      <c r="H29" s="11"/>
      <c r="I29" s="11"/>
    </row>
    <row r="30" customFormat="false" ht="19.5" hidden="false" customHeight="true" outlineLevel="0" collapsed="false">
      <c r="B30" s="8" t="s">
        <v>39</v>
      </c>
      <c r="C30" s="8"/>
      <c r="D30" s="8"/>
      <c r="E30" s="9" t="s">
        <v>40</v>
      </c>
      <c r="F30" s="9"/>
      <c r="G30" s="9"/>
      <c r="H30" s="9"/>
      <c r="I30" s="9"/>
    </row>
  </sheetData>
  <mergeCells count="41">
    <mergeCell ref="B2:J7"/>
    <mergeCell ref="B8:J8"/>
    <mergeCell ref="B10:D10"/>
    <mergeCell ref="E10:I10"/>
    <mergeCell ref="B11:D11"/>
    <mergeCell ref="E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3:J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B30:D30"/>
    <mergeCell ref="E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7" min="3" style="1" width="12"/>
  </cols>
  <sheetData>
    <row r="1" customFormat="false" ht="31.5" hidden="false" customHeight="true" outlineLevel="0" collapsed="false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7.5" hidden="false" customHeight="true" outlineLevel="0" collapsed="false"/>
    <row r="3" customFormat="false" ht="21.75" hidden="false" customHeight="true" outlineLevel="0" collapsed="false">
      <c r="A3" s="13" t="s">
        <v>42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customFormat="false" ht="19.5" hidden="false" customHeight="true" outlineLevel="0" collapsed="false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</row>
    <row r="5" customFormat="false" ht="19.5" hidden="false" customHeight="true" outlineLevel="0" collapsed="false">
      <c r="A5" s="15" t="s">
        <v>50</v>
      </c>
      <c r="B5" s="15" t="s">
        <v>51</v>
      </c>
      <c r="C5" s="16" t="n">
        <v>0.043</v>
      </c>
      <c r="D5" s="16" t="n">
        <v>0.07</v>
      </c>
      <c r="E5" s="16" t="n">
        <v>0.08</v>
      </c>
      <c r="F5" s="16" t="n">
        <v>0.075</v>
      </c>
      <c r="G5" s="16" t="n">
        <v>0.065</v>
      </c>
    </row>
    <row r="6" customFormat="false" ht="19.5" hidden="false" customHeight="true" outlineLevel="0" collapsed="false">
      <c r="A6" s="17" t="s">
        <v>52</v>
      </c>
      <c r="B6" s="17" t="s">
        <v>53</v>
      </c>
      <c r="C6" s="16" t="n">
        <v>0.443</v>
      </c>
      <c r="D6" s="16" t="n">
        <v>0.448</v>
      </c>
      <c r="E6" s="16" t="n">
        <v>0.452</v>
      </c>
      <c r="F6" s="16" t="n">
        <v>0.455</v>
      </c>
      <c r="G6" s="16" t="n">
        <v>0.455</v>
      </c>
    </row>
    <row r="7" customFormat="false" ht="19.5" hidden="false" customHeight="true" outlineLevel="0" collapsed="false">
      <c r="A7" s="15" t="s">
        <v>54</v>
      </c>
      <c r="B7" s="15" t="s">
        <v>55</v>
      </c>
      <c r="C7" s="16" t="n">
        <v>0.079</v>
      </c>
      <c r="D7" s="16" t="n">
        <v>0.078</v>
      </c>
      <c r="E7" s="16" t="n">
        <v>0.077</v>
      </c>
      <c r="F7" s="16" t="n">
        <v>0.076</v>
      </c>
      <c r="G7" s="16" t="n">
        <v>0.075</v>
      </c>
    </row>
    <row r="8" customFormat="false" ht="19.5" hidden="false" customHeight="true" outlineLevel="0" collapsed="false">
      <c r="A8" s="17" t="s">
        <v>56</v>
      </c>
      <c r="B8" s="17" t="s">
        <v>57</v>
      </c>
      <c r="C8" s="16" t="n">
        <v>0.064</v>
      </c>
      <c r="D8" s="16" t="n">
        <v>0.063</v>
      </c>
      <c r="E8" s="16" t="n">
        <v>0.062</v>
      </c>
      <c r="F8" s="16" t="n">
        <v>0.061</v>
      </c>
      <c r="G8" s="16" t="n">
        <v>0.06</v>
      </c>
    </row>
    <row r="9" customFormat="false" ht="19.5" hidden="false" customHeight="true" outlineLevel="0" collapsed="false">
      <c r="A9" s="15" t="s">
        <v>58</v>
      </c>
      <c r="B9" s="15" t="s">
        <v>59</v>
      </c>
      <c r="C9" s="16" t="n">
        <v>0.155</v>
      </c>
      <c r="D9" s="16" t="n">
        <v>0.155</v>
      </c>
      <c r="E9" s="16" t="n">
        <v>0.155</v>
      </c>
      <c r="F9" s="16" t="n">
        <v>0.155</v>
      </c>
      <c r="G9" s="16" t="n">
        <v>0.155</v>
      </c>
    </row>
    <row r="10" customFormat="false" ht="19.5" hidden="false" customHeight="true" outlineLevel="0" collapsed="false">
      <c r="A10" s="17" t="s">
        <v>60</v>
      </c>
      <c r="B10" s="17" t="s">
        <v>61</v>
      </c>
      <c r="C10" s="16" t="n">
        <v>0.03</v>
      </c>
      <c r="D10" s="16" t="n">
        <v>0.029</v>
      </c>
      <c r="E10" s="16" t="n">
        <v>0.028</v>
      </c>
      <c r="F10" s="16" t="n">
        <v>0.027</v>
      </c>
      <c r="G10" s="16" t="n">
        <v>0.026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13" t="s">
        <v>62</v>
      </c>
      <c r="B13" s="13"/>
      <c r="C13" s="13"/>
      <c r="D13" s="13"/>
      <c r="E13" s="13"/>
      <c r="F13" s="13"/>
      <c r="G13" s="13"/>
    </row>
    <row r="14" customFormat="false" ht="15" hidden="false" customHeight="true" outlineLevel="0" collapsed="false">
      <c r="A14" s="14" t="s">
        <v>43</v>
      </c>
      <c r="B14" s="14" t="s">
        <v>44</v>
      </c>
      <c r="C14" s="14" t="s">
        <v>45</v>
      </c>
      <c r="D14" s="14" t="s">
        <v>46</v>
      </c>
      <c r="E14" s="14" t="s">
        <v>47</v>
      </c>
      <c r="F14" s="14" t="s">
        <v>48</v>
      </c>
      <c r="G14" s="14" t="s">
        <v>49</v>
      </c>
    </row>
    <row r="15" customFormat="false" ht="19.5" hidden="false" customHeight="true" outlineLevel="0" collapsed="false">
      <c r="A15" s="15" t="s">
        <v>63</v>
      </c>
      <c r="B15" s="15" t="s">
        <v>64</v>
      </c>
      <c r="C15" s="16" t="n">
        <v>0.029</v>
      </c>
      <c r="D15" s="16" t="n">
        <v>0.028</v>
      </c>
      <c r="E15" s="16" t="n">
        <v>0.028</v>
      </c>
      <c r="F15" s="16" t="n">
        <v>0.027</v>
      </c>
      <c r="G15" s="16" t="n">
        <v>0.026</v>
      </c>
    </row>
    <row r="16" customFormat="false" ht="19.5" hidden="false" customHeight="true" outlineLevel="0" collapsed="false">
      <c r="A16" s="17" t="s">
        <v>65</v>
      </c>
      <c r="B16" s="17" t="s">
        <v>66</v>
      </c>
      <c r="C16" s="16" t="n">
        <v>0.045</v>
      </c>
      <c r="D16" s="16" t="n">
        <v>0.045</v>
      </c>
      <c r="E16" s="16" t="n">
        <v>0.045</v>
      </c>
      <c r="F16" s="16" t="n">
        <v>0.045</v>
      </c>
      <c r="G16" s="16" t="n">
        <v>0.045</v>
      </c>
    </row>
    <row r="17" customFormat="false" ht="19.5" hidden="false" customHeight="true" outlineLevel="0" collapsed="false">
      <c r="A17" s="15" t="s">
        <v>67</v>
      </c>
      <c r="B17" s="15" t="s">
        <v>68</v>
      </c>
      <c r="C17" s="18" t="n">
        <v>28</v>
      </c>
      <c r="D17" s="18" t="n">
        <v>28</v>
      </c>
      <c r="E17" s="18" t="n">
        <v>27</v>
      </c>
      <c r="F17" s="18" t="n">
        <v>27</v>
      </c>
      <c r="G17" s="18" t="n">
        <v>27</v>
      </c>
    </row>
    <row r="18" customFormat="false" ht="19.5" hidden="false" customHeight="true" outlineLevel="0" collapsed="false">
      <c r="A18" s="17" t="s">
        <v>69</v>
      </c>
      <c r="B18" s="17" t="s">
        <v>70</v>
      </c>
      <c r="C18" s="18" t="n">
        <v>6</v>
      </c>
      <c r="D18" s="18" t="n">
        <v>6</v>
      </c>
      <c r="E18" s="18" t="n">
        <v>6</v>
      </c>
      <c r="F18" s="18" t="n">
        <v>6</v>
      </c>
      <c r="G18" s="18" t="n">
        <v>5</v>
      </c>
    </row>
    <row r="19" customFormat="false" ht="19.5" hidden="false" customHeight="true" outlineLevel="0" collapsed="false">
      <c r="A19" s="15" t="s">
        <v>71</v>
      </c>
      <c r="B19" s="15" t="s">
        <v>72</v>
      </c>
      <c r="C19" s="18" t="n">
        <v>59</v>
      </c>
      <c r="D19" s="18" t="n">
        <v>58</v>
      </c>
      <c r="E19" s="18" t="n">
        <v>57</v>
      </c>
      <c r="F19" s="18" t="n">
        <v>56</v>
      </c>
      <c r="G19" s="18" t="n">
        <v>55</v>
      </c>
    </row>
    <row r="21" customFormat="false" ht="7.5" hidden="false" customHeight="true" outlineLevel="0" collapsed="false"/>
    <row r="22" customFormat="false" ht="21.75" hidden="false" customHeight="true" outlineLevel="0" collapsed="false">
      <c r="A22" s="13" t="s">
        <v>73</v>
      </c>
      <c r="B22" s="13"/>
      <c r="C22" s="13"/>
      <c r="D22" s="13"/>
      <c r="E22" s="13"/>
      <c r="F22" s="13"/>
      <c r="G22" s="13"/>
    </row>
    <row r="23" customFormat="false" ht="15" hidden="false" customHeight="true" outlineLevel="0" collapsed="false">
      <c r="A23" s="14" t="s">
        <v>74</v>
      </c>
      <c r="B23" s="14" t="s">
        <v>75</v>
      </c>
      <c r="C23" s="14" t="s">
        <v>76</v>
      </c>
    </row>
    <row r="24" customFormat="false" ht="19.5" hidden="false" customHeight="true" outlineLevel="0" collapsed="false">
      <c r="A24" s="15" t="s">
        <v>77</v>
      </c>
      <c r="B24" s="15" t="s">
        <v>78</v>
      </c>
      <c r="C24" s="19" t="n">
        <v>0.0425</v>
      </c>
    </row>
    <row r="25" customFormat="false" ht="19.5" hidden="false" customHeight="true" outlineLevel="0" collapsed="false">
      <c r="A25" s="17" t="s">
        <v>79</v>
      </c>
      <c r="B25" s="17" t="s">
        <v>80</v>
      </c>
      <c r="C25" s="19" t="n">
        <v>0.055</v>
      </c>
    </row>
    <row r="26" customFormat="false" ht="19.5" hidden="false" customHeight="true" outlineLevel="0" collapsed="false">
      <c r="A26" s="15" t="s">
        <v>81</v>
      </c>
      <c r="B26" s="15" t="s">
        <v>82</v>
      </c>
      <c r="C26" s="20" t="n">
        <v>1.25</v>
      </c>
    </row>
    <row r="27" customFormat="false" ht="19.5" hidden="false" customHeight="true" outlineLevel="0" collapsed="false">
      <c r="A27" s="17" t="s">
        <v>83</v>
      </c>
      <c r="B27" s="17" t="s">
        <v>84</v>
      </c>
      <c r="C27" s="21" t="n">
        <f aca="false">C24+C26*C25</f>
        <v>0.11125</v>
      </c>
    </row>
    <row r="28" customFormat="false" ht="19.5" hidden="false" customHeight="true" outlineLevel="0" collapsed="false">
      <c r="A28" s="15" t="s">
        <v>85</v>
      </c>
      <c r="B28" s="15" t="s">
        <v>86</v>
      </c>
      <c r="C28" s="19" t="n">
        <v>0.048</v>
      </c>
    </row>
    <row r="29" customFormat="false" ht="19.5" hidden="false" customHeight="true" outlineLevel="0" collapsed="false">
      <c r="A29" s="17" t="s">
        <v>87</v>
      </c>
      <c r="B29" s="17" t="s">
        <v>88</v>
      </c>
      <c r="C29" s="19" t="n">
        <v>0.155</v>
      </c>
    </row>
    <row r="30" customFormat="false" ht="19.5" hidden="false" customHeight="true" outlineLevel="0" collapsed="false">
      <c r="A30" s="15" t="s">
        <v>89</v>
      </c>
      <c r="B30" s="15" t="s">
        <v>90</v>
      </c>
      <c r="C30" s="22" t="n">
        <f aca="false">C28*(1-C29)</f>
        <v>0.04056</v>
      </c>
    </row>
    <row r="31" customFormat="false" ht="19.5" hidden="false" customHeight="true" outlineLevel="0" collapsed="false">
      <c r="A31" s="17" t="s">
        <v>91</v>
      </c>
      <c r="B31" s="17" t="s">
        <v>92</v>
      </c>
      <c r="C31" s="19" t="n">
        <v>0.92</v>
      </c>
    </row>
    <row r="32" customFormat="false" ht="19.5" hidden="false" customHeight="true" outlineLevel="0" collapsed="false">
      <c r="A32" s="15" t="s">
        <v>93</v>
      </c>
      <c r="B32" s="15" t="s">
        <v>94</v>
      </c>
      <c r="C32" s="19" t="n">
        <v>0.08</v>
      </c>
    </row>
    <row r="33" customFormat="false" ht="19.5" hidden="false" customHeight="true" outlineLevel="0" collapsed="false">
      <c r="A33" s="23" t="s">
        <v>95</v>
      </c>
      <c r="B33" s="24" t="s">
        <v>96</v>
      </c>
      <c r="C33" s="25" t="n">
        <f aca="false">C27*C31+C30*C32</f>
        <v>0.1055948</v>
      </c>
    </row>
    <row r="36" customFormat="false" ht="7.5" hidden="false" customHeight="true" outlineLevel="0" collapsed="false"/>
    <row r="37" customFormat="false" ht="21.75" hidden="false" customHeight="true" outlineLevel="0" collapsed="false">
      <c r="A37" s="26" t="s">
        <v>97</v>
      </c>
      <c r="B37" s="26"/>
      <c r="C37" s="26"/>
      <c r="D37" s="26"/>
      <c r="E37" s="26"/>
      <c r="F37" s="26"/>
      <c r="G37" s="26"/>
    </row>
    <row r="38" customFormat="false" ht="18" hidden="false" customHeight="true" outlineLevel="0" collapsed="false">
      <c r="A38" s="27" t="s">
        <v>98</v>
      </c>
      <c r="B38" s="27"/>
      <c r="C38" s="27"/>
      <c r="D38" s="27"/>
      <c r="E38" s="27"/>
      <c r="F38" s="27"/>
      <c r="G38" s="27"/>
    </row>
    <row r="39" customFormat="false" ht="18" hidden="false" customHeight="true" outlineLevel="0" collapsed="false">
      <c r="A39" s="28" t="s">
        <v>99</v>
      </c>
      <c r="B39" s="28"/>
      <c r="C39" s="28"/>
      <c r="D39" s="28"/>
      <c r="E39" s="28"/>
      <c r="F39" s="28"/>
      <c r="G39" s="28"/>
    </row>
    <row r="40" customFormat="false" ht="18" hidden="false" customHeight="true" outlineLevel="0" collapsed="false">
      <c r="A40" s="29" t="s">
        <v>100</v>
      </c>
      <c r="B40" s="29"/>
      <c r="C40" s="29"/>
      <c r="D40" s="29"/>
      <c r="E40" s="29"/>
      <c r="F40" s="29"/>
      <c r="G40" s="29"/>
    </row>
    <row r="41" customFormat="false" ht="18" hidden="false" customHeight="true" outlineLevel="0" collapsed="false">
      <c r="A41" s="24" t="s">
        <v>101</v>
      </c>
      <c r="B41" s="24"/>
      <c r="C41" s="24"/>
      <c r="D41" s="24"/>
      <c r="E41" s="24"/>
      <c r="F41" s="24"/>
      <c r="G41" s="24"/>
    </row>
    <row r="42" customFormat="false" ht="18" hidden="false" customHeight="true" outlineLevel="0" collapsed="false">
      <c r="A42" s="30" t="s">
        <v>102</v>
      </c>
      <c r="B42" s="30"/>
      <c r="C42" s="30"/>
      <c r="D42" s="30"/>
      <c r="E42" s="30"/>
      <c r="F42" s="30"/>
      <c r="G42" s="30"/>
    </row>
  </sheetData>
  <mergeCells count="10">
    <mergeCell ref="A1:M1"/>
    <mergeCell ref="A3:M3"/>
    <mergeCell ref="A13:G13"/>
    <mergeCell ref="A22:G22"/>
    <mergeCell ref="A37:G37"/>
    <mergeCell ref="A38:G38"/>
    <mergeCell ref="A39:G39"/>
    <mergeCell ref="A40:G40"/>
    <mergeCell ref="A41:G41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1" min="2" style="1" width="13"/>
  </cols>
  <sheetData>
    <row r="1" customFormat="false" ht="30" hidden="false" customHeight="true" outlineLevel="0" collapsed="false">
      <c r="A1" s="31" t="s">
        <v>103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1.75" hidden="false" customHeight="true" outlineLevel="0" collapsed="false">
      <c r="A2" s="32"/>
      <c r="B2" s="33" t="s">
        <v>104</v>
      </c>
      <c r="C2" s="33" t="s">
        <v>105</v>
      </c>
      <c r="D2" s="33" t="s">
        <v>106</v>
      </c>
      <c r="E2" s="33" t="s">
        <v>107</v>
      </c>
      <c r="F2" s="33" t="s">
        <v>108</v>
      </c>
      <c r="G2" s="34" t="s">
        <v>45</v>
      </c>
      <c r="H2" s="34" t="s">
        <v>46</v>
      </c>
      <c r="I2" s="34" t="s">
        <v>47</v>
      </c>
      <c r="J2" s="34" t="s">
        <v>48</v>
      </c>
      <c r="K2" s="34" t="s">
        <v>49</v>
      </c>
    </row>
    <row r="3" customFormat="false" ht="15.75" hidden="false" customHeight="true" outlineLevel="0" collapsed="false">
      <c r="B3" s="35" t="s">
        <v>109</v>
      </c>
      <c r="C3" s="35"/>
      <c r="D3" s="35"/>
      <c r="E3" s="35"/>
      <c r="F3" s="35"/>
      <c r="G3" s="36" t="s">
        <v>110</v>
      </c>
      <c r="H3" s="36"/>
      <c r="I3" s="36"/>
      <c r="J3" s="36"/>
      <c r="K3" s="36"/>
    </row>
    <row r="4" customFormat="false" ht="19.5" hidden="false" customHeight="true" outlineLevel="0" collapsed="false">
      <c r="A4" s="37" t="s">
        <v>111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customFormat="false" ht="19.5" hidden="false" customHeight="true" outlineLevel="0" collapsed="false">
      <c r="A5" s="11" t="s">
        <v>112</v>
      </c>
      <c r="B5" s="39" t="n">
        <v>260174</v>
      </c>
      <c r="C5" s="39" t="n">
        <v>274515</v>
      </c>
      <c r="D5" s="39" t="n">
        <v>365817</v>
      </c>
      <c r="E5" s="39" t="n">
        <v>394328</v>
      </c>
      <c r="F5" s="39" t="n">
        <v>383285</v>
      </c>
      <c r="G5" s="40" t="n">
        <f aca="false">F5*(1+Assumptions!C5)</f>
        <v>399766.255</v>
      </c>
      <c r="H5" s="40" t="n">
        <f aca="false">G5*(1+Assumptions!D5)</f>
        <v>427749.89285</v>
      </c>
      <c r="I5" s="40" t="n">
        <f aca="false">H5*(1+Assumptions!E5)</f>
        <v>461969.884278</v>
      </c>
      <c r="J5" s="40" t="n">
        <f aca="false">I5*(1+Assumptions!F5)</f>
        <v>496617.62559885</v>
      </c>
      <c r="K5" s="40" t="n">
        <f aca="false">J5*(1+Assumptions!G5)</f>
        <v>528897.771262775</v>
      </c>
    </row>
    <row r="6" customFormat="false" ht="6" hidden="false" customHeight="true" outlineLevel="0" collapsed="false"/>
    <row r="7" customFormat="false" ht="19.5" hidden="false" customHeight="true" outlineLevel="0" collapsed="false">
      <c r="A7" s="37" t="s">
        <v>113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customFormat="false" ht="19.5" hidden="false" customHeight="true" outlineLevel="0" collapsed="false">
      <c r="A8" s="5" t="s">
        <v>114</v>
      </c>
      <c r="B8" s="41" t="n">
        <v>161782</v>
      </c>
      <c r="C8" s="41" t="n">
        <v>169559</v>
      </c>
      <c r="D8" s="41" t="n">
        <v>212981</v>
      </c>
      <c r="E8" s="41" t="n">
        <v>223546</v>
      </c>
      <c r="F8" s="41" t="n">
        <v>214137</v>
      </c>
      <c r="G8" s="40" t="n">
        <f aca="false">G5*(1-Assumptions!C6)</f>
        <v>222669.804035</v>
      </c>
      <c r="H8" s="40" t="n">
        <f aca="false">H5*(1-Assumptions!D6)</f>
        <v>236117.9408532</v>
      </c>
      <c r="I8" s="40" t="n">
        <f aca="false">I5*(1-Assumptions!E6)</f>
        <v>253159.496584344</v>
      </c>
      <c r="J8" s="40" t="n">
        <f aca="false">J5*(1-Assumptions!F6)</f>
        <v>270656.605951373</v>
      </c>
      <c r="K8" s="40" t="n">
        <f aca="false">K5*(1-Assumptions!G6)</f>
        <v>288249.285338212</v>
      </c>
    </row>
    <row r="9" customFormat="false" ht="19.5" hidden="false" customHeight="true" outlineLevel="0" collapsed="false">
      <c r="A9" s="23" t="s">
        <v>115</v>
      </c>
      <c r="B9" s="42" t="n">
        <v>98392</v>
      </c>
      <c r="C9" s="42" t="n">
        <v>104956</v>
      </c>
      <c r="D9" s="42" t="n">
        <v>152836</v>
      </c>
      <c r="E9" s="42" t="n">
        <v>170782</v>
      </c>
      <c r="F9" s="42" t="n">
        <v>169148</v>
      </c>
      <c r="G9" s="43" t="n">
        <f aca="false">G5-G8</f>
        <v>177096.450965</v>
      </c>
      <c r="H9" s="43" t="n">
        <f aca="false">H5-H8</f>
        <v>191631.9519968</v>
      </c>
      <c r="I9" s="43" t="n">
        <f aca="false">I5-I8</f>
        <v>208810.387693656</v>
      </c>
      <c r="J9" s="43" t="n">
        <f aca="false">J5-J8</f>
        <v>225961.019647477</v>
      </c>
      <c r="K9" s="43" t="n">
        <f aca="false">K5-K8</f>
        <v>240648.485924563</v>
      </c>
    </row>
    <row r="10" customFormat="false" ht="19.5" hidden="false" customHeight="true" outlineLevel="0" collapsed="false">
      <c r="A10" s="5" t="s">
        <v>116</v>
      </c>
      <c r="B10" s="44" t="n">
        <f aca="false">B9/B5</f>
        <v>0.378177681090347</v>
      </c>
      <c r="C10" s="44" t="n">
        <f aca="false">C9/C5</f>
        <v>0.382332477278109</v>
      </c>
      <c r="D10" s="44" t="n">
        <f aca="false">D9/D5</f>
        <v>0.417793596251678</v>
      </c>
      <c r="E10" s="44" t="n">
        <f aca="false">E9/E5</f>
        <v>0.433096305613601</v>
      </c>
      <c r="F10" s="44" t="n">
        <f aca="false">F9/F5</f>
        <v>0.441311295772076</v>
      </c>
      <c r="G10" s="44" t="n">
        <f aca="false">G9/G5</f>
        <v>0.443</v>
      </c>
      <c r="H10" s="44" t="n">
        <f aca="false">H9/H5</f>
        <v>0.448</v>
      </c>
      <c r="I10" s="44" t="n">
        <f aca="false">I9/I5</f>
        <v>0.452</v>
      </c>
      <c r="J10" s="44" t="n">
        <f aca="false">J9/J5</f>
        <v>0.455</v>
      </c>
      <c r="K10" s="44" t="n">
        <f aca="false">K9/K5</f>
        <v>0.455</v>
      </c>
    </row>
    <row r="11" customFormat="false" ht="6" hidden="false" customHeight="true" outlineLevel="0" collapsed="false"/>
    <row r="12" customFormat="false" ht="19.5" hidden="false" customHeight="true" outlineLevel="0" collapsed="false">
      <c r="A12" s="37" t="s">
        <v>117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customFormat="false" ht="19.5" hidden="false" customHeight="true" outlineLevel="0" collapsed="false">
      <c r="A13" s="11" t="s">
        <v>118</v>
      </c>
      <c r="B13" s="39" t="n">
        <v>16217</v>
      </c>
      <c r="C13" s="39" t="n">
        <v>18752</v>
      </c>
      <c r="D13" s="39" t="n">
        <v>21914</v>
      </c>
      <c r="E13" s="39" t="n">
        <v>26251</v>
      </c>
      <c r="F13" s="39" t="n">
        <v>29915</v>
      </c>
      <c r="G13" s="40" t="n">
        <f aca="false">G5*Assumptions!C7</f>
        <v>31581.534145</v>
      </c>
      <c r="H13" s="40" t="n">
        <f aca="false">H5*Assumptions!D7</f>
        <v>33364.4916423</v>
      </c>
      <c r="I13" s="40" t="n">
        <f aca="false">I5*Assumptions!E7</f>
        <v>35571.681089406</v>
      </c>
      <c r="J13" s="40" t="n">
        <f aca="false">J5*Assumptions!F7</f>
        <v>37742.9395455126</v>
      </c>
      <c r="K13" s="40" t="n">
        <f aca="false">K5*Assumptions!G7</f>
        <v>39667.3328447081</v>
      </c>
    </row>
    <row r="14" customFormat="false" ht="19.5" hidden="false" customHeight="true" outlineLevel="0" collapsed="false">
      <c r="A14" s="5" t="s">
        <v>119</v>
      </c>
      <c r="B14" s="41" t="n">
        <v>18245</v>
      </c>
      <c r="C14" s="41" t="n">
        <v>19916</v>
      </c>
      <c r="D14" s="41" t="n">
        <v>21973</v>
      </c>
      <c r="E14" s="41" t="n">
        <v>25094</v>
      </c>
      <c r="F14" s="41" t="n">
        <v>24932</v>
      </c>
      <c r="G14" s="40" t="n">
        <f aca="false">G5*Assumptions!C8</f>
        <v>25585.04032</v>
      </c>
      <c r="H14" s="40" t="n">
        <f aca="false">H5*Assumptions!D8</f>
        <v>26948.24324955</v>
      </c>
      <c r="I14" s="40" t="n">
        <f aca="false">I5*Assumptions!E8</f>
        <v>28642.132825236</v>
      </c>
      <c r="J14" s="40" t="n">
        <f aca="false">J5*Assumptions!F8</f>
        <v>30293.6751615298</v>
      </c>
      <c r="K14" s="40" t="n">
        <f aca="false">K5*Assumptions!G8</f>
        <v>31733.8662757665</v>
      </c>
    </row>
    <row r="15" customFormat="false" ht="19.5" hidden="false" customHeight="true" outlineLevel="0" collapsed="false">
      <c r="A15" s="23" t="s">
        <v>120</v>
      </c>
      <c r="B15" s="45" t="n">
        <v>34462</v>
      </c>
      <c r="C15" s="45" t="n">
        <v>38668</v>
      </c>
      <c r="D15" s="45" t="n">
        <v>43887</v>
      </c>
      <c r="E15" s="45" t="n">
        <v>51345</v>
      </c>
      <c r="F15" s="45" t="n">
        <v>54847</v>
      </c>
      <c r="G15" s="43" t="n">
        <f aca="false">G13+G14</f>
        <v>57166.574465</v>
      </c>
      <c r="H15" s="43" t="n">
        <f aca="false">H13+H14</f>
        <v>60312.73489185</v>
      </c>
      <c r="I15" s="43" t="n">
        <f aca="false">I13+I14</f>
        <v>64213.813914642</v>
      </c>
      <c r="J15" s="43" t="n">
        <f aca="false">J13+J14</f>
        <v>68036.6147070425</v>
      </c>
      <c r="K15" s="43" t="n">
        <f aca="false">K13+K14</f>
        <v>71401.1991204746</v>
      </c>
    </row>
    <row r="16" customFormat="false" ht="19.5" hidden="false" customHeight="true" outlineLevel="0" collapsed="false">
      <c r="A16" s="23" t="s">
        <v>121</v>
      </c>
      <c r="B16" s="42" t="n">
        <v>63930</v>
      </c>
      <c r="C16" s="42" t="n">
        <v>66288</v>
      </c>
      <c r="D16" s="42" t="n">
        <v>108949</v>
      </c>
      <c r="E16" s="42" t="n">
        <v>119437</v>
      </c>
      <c r="F16" s="42" t="n">
        <v>114301</v>
      </c>
      <c r="G16" s="43" t="n">
        <f aca="false">G9-G15</f>
        <v>119929.8765</v>
      </c>
      <c r="H16" s="43" t="n">
        <f aca="false">H9-H15</f>
        <v>131319.21710495</v>
      </c>
      <c r="I16" s="43" t="n">
        <f aca="false">I9-I15</f>
        <v>144596.573779014</v>
      </c>
      <c r="J16" s="43" t="n">
        <f aca="false">J9-J15</f>
        <v>157924.404940434</v>
      </c>
      <c r="K16" s="43" t="n">
        <f aca="false">K9-K15</f>
        <v>169247.286804088</v>
      </c>
    </row>
    <row r="17" customFormat="false" ht="19.5" hidden="false" customHeight="true" outlineLevel="0" collapsed="false">
      <c r="A17" s="11" t="s">
        <v>122</v>
      </c>
      <c r="B17" s="46" t="n">
        <f aca="false">B16/B5</f>
        <v>0.245720171884969</v>
      </c>
      <c r="C17" s="46" t="n">
        <f aca="false">C16/C5</f>
        <v>0.241473143544069</v>
      </c>
      <c r="D17" s="46" t="n">
        <f aca="false">D16/D5</f>
        <v>0.297823775275616</v>
      </c>
      <c r="E17" s="46" t="n">
        <f aca="false">E16/E5</f>
        <v>0.302887443955286</v>
      </c>
      <c r="F17" s="46" t="n">
        <f aca="false">F16/F5</f>
        <v>0.298214122650247</v>
      </c>
      <c r="G17" s="44" t="n">
        <f aca="false">G16/G5</f>
        <v>0.3</v>
      </c>
      <c r="H17" s="44" t="n">
        <f aca="false">H16/H5</f>
        <v>0.307</v>
      </c>
      <c r="I17" s="44" t="n">
        <f aca="false">I16/I5</f>
        <v>0.313</v>
      </c>
      <c r="J17" s="44" t="n">
        <f aca="false">J16/J5</f>
        <v>0.318</v>
      </c>
      <c r="K17" s="44" t="n">
        <f aca="false">K16/K5</f>
        <v>0.32</v>
      </c>
    </row>
    <row r="18" customFormat="false" ht="6" hidden="false" customHeight="true" outlineLevel="0" collapsed="false"/>
    <row r="19" customFormat="false" ht="19.5" hidden="false" customHeight="true" outlineLevel="0" collapsed="false">
      <c r="A19" s="37" t="s">
        <v>123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customFormat="false" ht="19.5" hidden="false" customHeight="true" outlineLevel="0" collapsed="false">
      <c r="A20" s="5" t="s">
        <v>124</v>
      </c>
      <c r="B20" s="40" t="n">
        <v>500</v>
      </c>
      <c r="C20" s="40" t="n">
        <v>500</v>
      </c>
      <c r="D20" s="40" t="n">
        <v>500</v>
      </c>
      <c r="E20" s="40" t="n">
        <v>500</v>
      </c>
      <c r="F20" s="40" t="n">
        <v>500</v>
      </c>
      <c r="G20" s="41" t="n">
        <v>500</v>
      </c>
      <c r="H20" s="41" t="n">
        <v>500</v>
      </c>
      <c r="I20" s="41" t="n">
        <v>500</v>
      </c>
      <c r="J20" s="41" t="n">
        <v>500</v>
      </c>
      <c r="K20" s="41" t="n">
        <v>500</v>
      </c>
    </row>
    <row r="21" customFormat="false" ht="19.5" hidden="false" customHeight="true" outlineLevel="0" collapsed="false">
      <c r="A21" s="23" t="s">
        <v>125</v>
      </c>
      <c r="B21" s="45" t="n">
        <v>64430</v>
      </c>
      <c r="C21" s="45" t="n">
        <v>66788</v>
      </c>
      <c r="D21" s="45" t="n">
        <v>109449</v>
      </c>
      <c r="E21" s="45" t="n">
        <v>119937</v>
      </c>
      <c r="F21" s="45" t="n">
        <v>114801</v>
      </c>
      <c r="G21" s="43" t="n">
        <f aca="false">G16+G20</f>
        <v>120429.8765</v>
      </c>
      <c r="H21" s="43" t="n">
        <f aca="false">H16+H20</f>
        <v>131819.21710495</v>
      </c>
      <c r="I21" s="43" t="n">
        <f aca="false">I16+I20</f>
        <v>145096.573779014</v>
      </c>
      <c r="J21" s="43" t="n">
        <f aca="false">J16+J20</f>
        <v>158424.404940434</v>
      </c>
      <c r="K21" s="43" t="n">
        <f aca="false">K16+K20</f>
        <v>169747.286804088</v>
      </c>
    </row>
    <row r="22" customFormat="false" ht="19.5" hidden="false" customHeight="true" outlineLevel="0" collapsed="false">
      <c r="A22" s="5" t="s">
        <v>126</v>
      </c>
      <c r="B22" s="40" t="n">
        <v>9987</v>
      </c>
      <c r="C22" s="40" t="n">
        <v>10352</v>
      </c>
      <c r="D22" s="40" t="n">
        <v>16965</v>
      </c>
      <c r="E22" s="40" t="n">
        <v>18590</v>
      </c>
      <c r="F22" s="40" t="n">
        <v>17794</v>
      </c>
      <c r="G22" s="40" t="n">
        <f aca="false">G21*Assumptions!C9</f>
        <v>18666.6308575</v>
      </c>
      <c r="H22" s="40" t="n">
        <f aca="false">H21*Assumptions!D9</f>
        <v>20431.9786512672</v>
      </c>
      <c r="I22" s="40" t="n">
        <f aca="false">I21*Assumptions!E9</f>
        <v>22489.9689357472</v>
      </c>
      <c r="J22" s="40" t="n">
        <f aca="false">J21*Assumptions!F9</f>
        <v>24555.7827657673</v>
      </c>
      <c r="K22" s="40" t="n">
        <f aca="false">K21*Assumptions!G9</f>
        <v>26310.8294546337</v>
      </c>
    </row>
    <row r="23" customFormat="false" ht="19.5" hidden="false" customHeight="true" outlineLevel="0" collapsed="false">
      <c r="A23" s="23" t="s">
        <v>127</v>
      </c>
      <c r="B23" s="42" t="n">
        <v>55256</v>
      </c>
      <c r="C23" s="42" t="n">
        <v>57411</v>
      </c>
      <c r="D23" s="42" t="n">
        <v>94680</v>
      </c>
      <c r="E23" s="42" t="n">
        <v>99803</v>
      </c>
      <c r="F23" s="42" t="n">
        <v>96995</v>
      </c>
      <c r="G23" s="43" t="n">
        <f aca="false">G21-G22</f>
        <v>101763.2456425</v>
      </c>
      <c r="H23" s="43" t="n">
        <f aca="false">H21-H22</f>
        <v>111387.238453683</v>
      </c>
      <c r="I23" s="43" t="n">
        <f aca="false">I21-I22</f>
        <v>122606.604843267</v>
      </c>
      <c r="J23" s="43" t="n">
        <f aca="false">J21-J22</f>
        <v>133868.622174667</v>
      </c>
      <c r="K23" s="43" t="n">
        <f aca="false">K21-K22</f>
        <v>143436.457349454</v>
      </c>
    </row>
    <row r="24" customFormat="false" ht="19.5" hidden="false" customHeight="true" outlineLevel="0" collapsed="false">
      <c r="A24" s="5" t="s">
        <v>128</v>
      </c>
      <c r="B24" s="44" t="n">
        <f aca="false">B23/B5</f>
        <v>0.212380945059845</v>
      </c>
      <c r="C24" s="44" t="n">
        <f aca="false">C23/C5</f>
        <v>0.209136112780722</v>
      </c>
      <c r="D24" s="44" t="n">
        <f aca="false">D23/D5</f>
        <v>0.258817933556942</v>
      </c>
      <c r="E24" s="44" t="n">
        <f aca="false">E23/E5</f>
        <v>0.253096407051997</v>
      </c>
      <c r="F24" s="44" t="n">
        <f aca="false">F23/F5</f>
        <v>0.253062342643203</v>
      </c>
      <c r="G24" s="44" t="n">
        <f aca="false">G23/G5</f>
        <v>0.254556867593789</v>
      </c>
      <c r="H24" s="44" t="n">
        <f aca="false">H23/H5</f>
        <v>0.260402726723168</v>
      </c>
      <c r="I24" s="44" t="n">
        <f aca="false">I23/I5</f>
        <v>0.265399561780711</v>
      </c>
      <c r="J24" s="44" t="n">
        <f aca="false">J23/J5</f>
        <v>0.269560755144847</v>
      </c>
      <c r="K24" s="44" t="n">
        <f aca="false">K23/K5</f>
        <v>0.271198831121922</v>
      </c>
    </row>
    <row r="25" customFormat="false" ht="6" hidden="false" customHeight="true" outlineLevel="0" collapsed="false"/>
    <row r="26" customFormat="false" ht="19.5" hidden="false" customHeight="true" outlineLevel="0" collapsed="false">
      <c r="A26" s="37" t="s">
        <v>129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customFormat="false" ht="19.5" hidden="false" customHeight="true" outlineLevel="0" collapsed="false">
      <c r="A27" s="11" t="s">
        <v>130</v>
      </c>
      <c r="B27" s="39" t="n">
        <v>12547</v>
      </c>
      <c r="C27" s="39" t="n">
        <v>11056</v>
      </c>
      <c r="D27" s="39" t="n">
        <v>11284</v>
      </c>
      <c r="E27" s="39" t="n">
        <v>11104</v>
      </c>
      <c r="F27" s="39" t="n">
        <v>11519</v>
      </c>
      <c r="G27" s="40" t="n">
        <f aca="false">G5*Assumptions!C10</f>
        <v>11992.98765</v>
      </c>
      <c r="H27" s="40" t="n">
        <f aca="false">H5*Assumptions!D10</f>
        <v>12404.74689265</v>
      </c>
      <c r="I27" s="40" t="n">
        <f aca="false">I5*Assumptions!E10</f>
        <v>12935.156759784</v>
      </c>
      <c r="J27" s="40" t="n">
        <f aca="false">J5*Assumptions!F10</f>
        <v>13408.6758911689</v>
      </c>
      <c r="K27" s="40" t="n">
        <f aca="false">K5*Assumptions!G10</f>
        <v>13751.3420528322</v>
      </c>
    </row>
    <row r="28" customFormat="false" ht="19.5" hidden="false" customHeight="true" outlineLevel="0" collapsed="false">
      <c r="A28" s="23" t="s">
        <v>131</v>
      </c>
      <c r="B28" s="42" t="n">
        <v>76477</v>
      </c>
      <c r="C28" s="42" t="n">
        <v>77344</v>
      </c>
      <c r="D28" s="42" t="n">
        <v>120233</v>
      </c>
      <c r="E28" s="42" t="n">
        <v>130541</v>
      </c>
      <c r="F28" s="42" t="n">
        <v>125820</v>
      </c>
      <c r="G28" s="43" t="n">
        <f aca="false">G16+G27</f>
        <v>131922.86415</v>
      </c>
      <c r="H28" s="43" t="n">
        <f aca="false">H16+H27</f>
        <v>143723.9639976</v>
      </c>
      <c r="I28" s="43" t="n">
        <f aca="false">I16+I27</f>
        <v>157531.730538798</v>
      </c>
      <c r="J28" s="43" t="n">
        <f aca="false">J16+J27</f>
        <v>171333.080831603</v>
      </c>
      <c r="K28" s="43" t="n">
        <f aca="false">K16+K27</f>
        <v>182998.62885692</v>
      </c>
    </row>
    <row r="29" customFormat="false" ht="19.5" hidden="false" customHeight="true" outlineLevel="0" collapsed="false">
      <c r="A29" s="11" t="s">
        <v>132</v>
      </c>
      <c r="B29" s="46" t="n">
        <f aca="false">B28/B5</f>
        <v>0.293945590258827</v>
      </c>
      <c r="C29" s="46" t="n">
        <f aca="false">C28/C5</f>
        <v>0.281747809773601</v>
      </c>
      <c r="D29" s="46" t="n">
        <f aca="false">D28/D5</f>
        <v>0.328669799380565</v>
      </c>
      <c r="E29" s="46" t="n">
        <f aca="false">E28/E5</f>
        <v>0.33104674281309</v>
      </c>
      <c r="F29" s="46" t="n">
        <f aca="false">F28/F5</f>
        <v>0.328267477203647</v>
      </c>
      <c r="G29" s="44" t="n">
        <f aca="false">G28/G5</f>
        <v>0.33</v>
      </c>
      <c r="H29" s="44" t="n">
        <f aca="false">H28/H5</f>
        <v>0.336</v>
      </c>
      <c r="I29" s="44" t="n">
        <f aca="false">I28/I5</f>
        <v>0.341</v>
      </c>
      <c r="J29" s="44" t="n">
        <f aca="false">J28/J5</f>
        <v>0.345</v>
      </c>
      <c r="K29" s="44" t="n">
        <f aca="false">K28/K5</f>
        <v>0.346</v>
      </c>
    </row>
    <row r="30" customFormat="false" ht="19.5" hidden="false" customHeight="true" outlineLevel="0" collapsed="false">
      <c r="A30" s="5" t="s">
        <v>133</v>
      </c>
      <c r="B30" s="47" t="n">
        <v>3.57852470694903</v>
      </c>
      <c r="C30" s="47" t="n">
        <v>3.71808820672236</v>
      </c>
      <c r="D30" s="47" t="n">
        <v>6.13172721973965</v>
      </c>
      <c r="E30" s="47" t="n">
        <v>6.46350624959523</v>
      </c>
      <c r="F30" s="47" t="n">
        <v>6.28165274269801</v>
      </c>
      <c r="G30" s="47" t="n">
        <f aca="false">G23/15441</f>
        <v>6.59045694206981</v>
      </c>
      <c r="H30" s="47" t="n">
        <f aca="false">H23/15441</f>
        <v>7.21373217108236</v>
      </c>
      <c r="I30" s="47" t="n">
        <f aca="false">I23/15441</f>
        <v>7.94032801264599</v>
      </c>
      <c r="J30" s="47" t="n">
        <f aca="false">J23/15441</f>
        <v>8.66968604200939</v>
      </c>
      <c r="K30" s="47" t="n">
        <f aca="false">K23/15441</f>
        <v>9.28932435395729</v>
      </c>
    </row>
  </sheetData>
  <mergeCells count="3">
    <mergeCell ref="A1:K1"/>
    <mergeCell ref="B3:F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1" min="2" style="1" width="13"/>
  </cols>
  <sheetData>
    <row r="1" customFormat="false" ht="30" hidden="false" customHeight="true" outlineLevel="0" collapsed="false">
      <c r="A1" s="31" t="s">
        <v>134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1.75" hidden="false" customHeight="true" outlineLevel="0" collapsed="false">
      <c r="A2" s="32"/>
      <c r="B2" s="48" t="s">
        <v>104</v>
      </c>
      <c r="C2" s="48" t="s">
        <v>105</v>
      </c>
      <c r="D2" s="48" t="s">
        <v>106</v>
      </c>
      <c r="E2" s="48" t="s">
        <v>107</v>
      </c>
      <c r="F2" s="48" t="s">
        <v>108</v>
      </c>
      <c r="G2" s="49" t="s">
        <v>45</v>
      </c>
      <c r="H2" s="49" t="s">
        <v>46</v>
      </c>
      <c r="I2" s="49" t="s">
        <v>47</v>
      </c>
      <c r="J2" s="49" t="s">
        <v>48</v>
      </c>
      <c r="K2" s="49" t="s">
        <v>49</v>
      </c>
    </row>
    <row r="3" customFormat="false" ht="19.5" hidden="false" customHeight="true" outlineLevel="0" collapsed="false">
      <c r="A3" s="37" t="s">
        <v>135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customFormat="false" ht="19.5" hidden="false" customHeight="true" outlineLevel="0" collapsed="false">
      <c r="A4" s="50" t="s">
        <v>136</v>
      </c>
      <c r="G4" s="40" t="n">
        <f aca="false">F4*1.03</f>
        <v>0</v>
      </c>
      <c r="H4" s="40" t="n">
        <f aca="false">G4*1.03</f>
        <v>0</v>
      </c>
      <c r="I4" s="40" t="n">
        <f aca="false">H4*1.03</f>
        <v>0</v>
      </c>
      <c r="J4" s="40" t="n">
        <f aca="false">I4*1.03</f>
        <v>0</v>
      </c>
      <c r="K4" s="40" t="n">
        <f aca="false">J4*1.03</f>
        <v>0</v>
      </c>
    </row>
    <row r="5" customFormat="false" ht="19.5" hidden="false" customHeight="true" outlineLevel="0" collapsed="false">
      <c r="A5" s="51" t="s">
        <v>137</v>
      </c>
      <c r="B5" s="41" t="n">
        <v>48844</v>
      </c>
      <c r="C5" s="41" t="n">
        <v>38016</v>
      </c>
      <c r="D5" s="41" t="n">
        <v>62639</v>
      </c>
      <c r="E5" s="41" t="n">
        <v>23646</v>
      </c>
      <c r="F5" s="41" t="n">
        <v>29965</v>
      </c>
      <c r="G5" s="40" t="n">
        <f aca="false">F5+'Cash Flow'!G10</f>
        <v>29965</v>
      </c>
      <c r="H5" s="40" t="n">
        <f aca="false">G5+'Cash Flow'!H10</f>
        <v>29965</v>
      </c>
      <c r="I5" s="40" t="n">
        <f aca="false">H5+'Cash Flow'!I10</f>
        <v>29965</v>
      </c>
      <c r="J5" s="40" t="n">
        <f aca="false">I5+'Cash Flow'!J10</f>
        <v>29965</v>
      </c>
      <c r="K5" s="40" t="n">
        <f aca="false">J5+'Cash Flow'!K10</f>
        <v>29965</v>
      </c>
    </row>
    <row r="6" customFormat="false" ht="19.5" hidden="false" customHeight="true" outlineLevel="0" collapsed="false">
      <c r="A6" s="50" t="s">
        <v>138</v>
      </c>
      <c r="B6" s="39" t="n">
        <v>51713</v>
      </c>
      <c r="C6" s="39" t="n">
        <v>52927</v>
      </c>
      <c r="D6" s="39" t="n">
        <v>27699</v>
      </c>
      <c r="E6" s="39" t="n">
        <v>24658</v>
      </c>
      <c r="F6" s="39" t="n">
        <v>31590</v>
      </c>
      <c r="G6" s="40" t="n">
        <f aca="false">F6*1.04</f>
        <v>32853.6</v>
      </c>
      <c r="H6" s="40" t="n">
        <f aca="false">G6*1.04</f>
        <v>34167.744</v>
      </c>
      <c r="I6" s="40" t="n">
        <f aca="false">H6*1.04</f>
        <v>35534.45376</v>
      </c>
      <c r="J6" s="40" t="n">
        <f aca="false">I6*1.04</f>
        <v>36955.8319104</v>
      </c>
      <c r="K6" s="40" t="n">
        <f aca="false">J6*1.04</f>
        <v>38434.065186816</v>
      </c>
    </row>
    <row r="7" customFormat="false" ht="19.5" hidden="false" customHeight="true" outlineLevel="0" collapsed="false">
      <c r="A7" s="51" t="s">
        <v>139</v>
      </c>
      <c r="B7" s="41" t="n">
        <v>22926</v>
      </c>
      <c r="C7" s="41" t="n">
        <v>16120</v>
      </c>
      <c r="D7" s="41" t="n">
        <v>26278</v>
      </c>
      <c r="E7" s="41" t="n">
        <v>28184</v>
      </c>
      <c r="F7" s="41" t="n">
        <v>29508</v>
      </c>
      <c r="G7" s="40" t="n">
        <f aca="false">'Income Statement'!G5*0.075</f>
        <v>29982.469125</v>
      </c>
      <c r="H7" s="40" t="n">
        <f aca="false">'Income Statement'!H5*0.075</f>
        <v>32081.24196375</v>
      </c>
      <c r="I7" s="40" t="n">
        <f aca="false">'Income Statement'!I5*0.075</f>
        <v>34647.74132085</v>
      </c>
      <c r="J7" s="40" t="n">
        <f aca="false">'Income Statement'!J5*0.075</f>
        <v>37246.3219199137</v>
      </c>
      <c r="K7" s="40" t="n">
        <f aca="false">'Income Statement'!K5*0.075</f>
        <v>39667.3328447081</v>
      </c>
    </row>
    <row r="8" customFormat="false" ht="19.5" hidden="false" customHeight="true" outlineLevel="0" collapsed="false">
      <c r="A8" s="50" t="s">
        <v>140</v>
      </c>
      <c r="B8" s="39" t="n">
        <v>4106</v>
      </c>
      <c r="C8" s="39" t="n">
        <v>4061</v>
      </c>
      <c r="D8" s="39" t="n">
        <v>6580</v>
      </c>
      <c r="E8" s="39" t="n">
        <v>4946</v>
      </c>
      <c r="F8" s="39" t="n">
        <v>6331</v>
      </c>
      <c r="G8" s="40" t="n">
        <f aca="false">'Income Statement'!G5*0.018</f>
        <v>7195.79259</v>
      </c>
      <c r="H8" s="40" t="n">
        <f aca="false">'Income Statement'!H5*0.018</f>
        <v>7699.4980713</v>
      </c>
      <c r="I8" s="40" t="n">
        <f aca="false">'Income Statement'!I5*0.018</f>
        <v>8315.457917004</v>
      </c>
      <c r="J8" s="40" t="n">
        <f aca="false">'Income Statement'!J5*0.018</f>
        <v>8939.1172607793</v>
      </c>
      <c r="K8" s="40" t="n">
        <f aca="false">'Income Statement'!K5*0.018</f>
        <v>9520.15988272995</v>
      </c>
    </row>
    <row r="9" customFormat="false" ht="19.5" hidden="false" customHeight="true" outlineLevel="0" collapsed="false">
      <c r="A9" s="51" t="s">
        <v>141</v>
      </c>
      <c r="B9" s="41" t="n">
        <v>12352</v>
      </c>
      <c r="C9" s="41" t="n">
        <v>11264</v>
      </c>
      <c r="D9" s="41" t="n">
        <v>14111</v>
      </c>
      <c r="E9" s="41" t="n">
        <v>21223</v>
      </c>
      <c r="F9" s="41" t="n">
        <v>14695</v>
      </c>
      <c r="G9" s="40" t="n">
        <f aca="false">F9*1.04</f>
        <v>15282.8</v>
      </c>
      <c r="H9" s="40" t="n">
        <f aca="false">G9*1.04</f>
        <v>15894.112</v>
      </c>
      <c r="I9" s="40" t="n">
        <f aca="false">H9*1.04</f>
        <v>16529.87648</v>
      </c>
      <c r="J9" s="40" t="n">
        <f aca="false">I9*1.04</f>
        <v>17191.0715392</v>
      </c>
      <c r="K9" s="40" t="n">
        <f aca="false">J9*1.04</f>
        <v>17878.714400768</v>
      </c>
    </row>
    <row r="10" customFormat="false" ht="19.5" hidden="false" customHeight="true" outlineLevel="0" collapsed="false">
      <c r="A10" s="23" t="s">
        <v>142</v>
      </c>
      <c r="B10" s="42" t="n">
        <v>162819</v>
      </c>
      <c r="C10" s="42" t="n">
        <v>143713</v>
      </c>
      <c r="D10" s="42" t="n">
        <v>134836</v>
      </c>
      <c r="E10" s="42" t="n">
        <v>135405</v>
      </c>
      <c r="F10" s="42" t="n">
        <v>143566</v>
      </c>
      <c r="G10" s="43" t="n">
        <f aca="false">F10*1.03</f>
        <v>147872.98</v>
      </c>
      <c r="H10" s="43" t="n">
        <f aca="false">G10*1.03</f>
        <v>152309.1694</v>
      </c>
      <c r="I10" s="43" t="n">
        <f aca="false">H10*1.03</f>
        <v>156878.444482</v>
      </c>
      <c r="J10" s="43" t="n">
        <f aca="false">I10*1.03</f>
        <v>161584.79781646</v>
      </c>
      <c r="K10" s="43" t="n">
        <f aca="false">J10*1.03</f>
        <v>166432.341750954</v>
      </c>
    </row>
    <row r="11" customFormat="false" ht="19.5" hidden="false" customHeight="true" outlineLevel="0" collapsed="false">
      <c r="A11" s="51" t="s">
        <v>143</v>
      </c>
      <c r="B11" s="41" t="n">
        <v>37378</v>
      </c>
      <c r="C11" s="41" t="n">
        <v>36766</v>
      </c>
      <c r="D11" s="41" t="n">
        <v>39440</v>
      </c>
      <c r="E11" s="41" t="n">
        <v>42117</v>
      </c>
      <c r="F11" s="41" t="n">
        <v>43715</v>
      </c>
      <c r="G11" s="40" t="n">
        <f aca="false">F11+'Income Statement'!G27-'Income Statement'!G5*Assumptions!C12</f>
        <v>55707.98765</v>
      </c>
      <c r="H11" s="40" t="n">
        <f aca="false">G11+'Income Statement'!H27-'Income Statement'!H5*Assumptions!D12</f>
        <v>68112.73454265</v>
      </c>
      <c r="I11" s="40" t="n">
        <f aca="false">H11+'Income Statement'!I27-'Income Statement'!I5*Assumptions!E12</f>
        <v>81047.891302434</v>
      </c>
      <c r="J11" s="40" t="n">
        <f aca="false">I11+'Income Statement'!J27-'Income Statement'!J5*Assumptions!F12</f>
        <v>94456.567193603</v>
      </c>
      <c r="K11" s="40" t="n">
        <f aca="false">J11+'Income Statement'!K27-'Income Statement'!K5*Assumptions!G12</f>
        <v>108207.909246435</v>
      </c>
    </row>
    <row r="12" customFormat="false" ht="19.5" hidden="false" customHeight="true" outlineLevel="0" collapsed="false">
      <c r="A12" s="50" t="s">
        <v>144</v>
      </c>
      <c r="B12" s="39" t="n">
        <v>32978</v>
      </c>
      <c r="C12" s="39" t="n">
        <v>42522</v>
      </c>
      <c r="D12" s="39" t="n">
        <v>48849</v>
      </c>
      <c r="E12" s="39" t="n">
        <v>54428</v>
      </c>
      <c r="F12" s="39" t="n">
        <v>64758</v>
      </c>
      <c r="G12" s="40" t="n">
        <f aca="false">F12*1.04</f>
        <v>67348.32</v>
      </c>
      <c r="H12" s="40" t="n">
        <f aca="false">G12*1.04</f>
        <v>70042.2528</v>
      </c>
      <c r="I12" s="40" t="n">
        <f aca="false">H12*1.04</f>
        <v>72843.942912</v>
      </c>
      <c r="J12" s="40" t="n">
        <f aca="false">I12*1.04</f>
        <v>75757.70062848</v>
      </c>
      <c r="K12" s="40" t="n">
        <f aca="false">J12*1.04</f>
        <v>78788.0086536192</v>
      </c>
    </row>
    <row r="13" customFormat="false" ht="19.5" hidden="false" customHeight="true" outlineLevel="0" collapsed="false">
      <c r="A13" s="23" t="s">
        <v>145</v>
      </c>
      <c r="B13" s="42" t="n">
        <v>338516</v>
      </c>
      <c r="C13" s="42" t="n">
        <v>323888</v>
      </c>
      <c r="D13" s="42" t="n">
        <v>351002</v>
      </c>
      <c r="E13" s="42" t="n">
        <v>352755</v>
      </c>
      <c r="F13" s="42" t="n">
        <v>352583</v>
      </c>
      <c r="G13" s="43" t="n">
        <f aca="false">F13*1.03</f>
        <v>363160.49</v>
      </c>
      <c r="H13" s="43" t="n">
        <f aca="false">G13*1.03</f>
        <v>374055.3047</v>
      </c>
      <c r="I13" s="43" t="n">
        <f aca="false">H13*1.03</f>
        <v>385276.963841</v>
      </c>
      <c r="J13" s="43" t="n">
        <f aca="false">I13*1.03</f>
        <v>396835.27275623</v>
      </c>
      <c r="K13" s="43" t="n">
        <f aca="false">J13*1.03</f>
        <v>408740.330938917</v>
      </c>
    </row>
    <row r="14" customFormat="false" ht="6" hidden="false" customHeight="true" outlineLevel="0" collapsed="false"/>
    <row r="15" customFormat="false" ht="19.5" hidden="false" customHeight="true" outlineLevel="0" collapsed="false">
      <c r="A15" s="37" t="s">
        <v>146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customFormat="false" ht="19.5" hidden="false" customHeight="true" outlineLevel="0" collapsed="false">
      <c r="A16" s="50" t="s">
        <v>147</v>
      </c>
      <c r="B16" s="39" t="n">
        <v>46236</v>
      </c>
      <c r="C16" s="39" t="n">
        <v>42296</v>
      </c>
      <c r="D16" s="39" t="n">
        <v>54763</v>
      </c>
      <c r="E16" s="39" t="n">
        <v>64115</v>
      </c>
      <c r="F16" s="39" t="n">
        <v>62611</v>
      </c>
      <c r="G16" s="40" t="n">
        <f aca="false">'Income Statement'!G5*0.075</f>
        <v>29982.469125</v>
      </c>
      <c r="H16" s="40" t="n">
        <f aca="false">'Income Statement'!H5*0.075</f>
        <v>32081.24196375</v>
      </c>
      <c r="I16" s="40" t="n">
        <f aca="false">'Income Statement'!I5*0.075</f>
        <v>34647.74132085</v>
      </c>
      <c r="J16" s="40" t="n">
        <f aca="false">'Income Statement'!J5*0.075</f>
        <v>37246.3219199137</v>
      </c>
      <c r="K16" s="40" t="n">
        <f aca="false">'Income Statement'!K5*0.075</f>
        <v>39667.3328447081</v>
      </c>
    </row>
    <row r="17" customFormat="false" ht="19.5" hidden="false" customHeight="true" outlineLevel="0" collapsed="false">
      <c r="A17" s="51" t="s">
        <v>148</v>
      </c>
      <c r="B17" s="41" t="n">
        <v>16240</v>
      </c>
      <c r="C17" s="41" t="n">
        <v>13769</v>
      </c>
      <c r="D17" s="41" t="n">
        <v>9613</v>
      </c>
      <c r="E17" s="41" t="n">
        <v>11128</v>
      </c>
      <c r="F17" s="41" t="n">
        <v>9822</v>
      </c>
      <c r="G17" s="40" t="n">
        <f aca="false">F17</f>
        <v>9822</v>
      </c>
      <c r="H17" s="40" t="n">
        <f aca="false">G17</f>
        <v>9822</v>
      </c>
      <c r="I17" s="40" t="n">
        <f aca="false">H17</f>
        <v>9822</v>
      </c>
      <c r="J17" s="40" t="n">
        <f aca="false">I17</f>
        <v>9822</v>
      </c>
      <c r="K17" s="40" t="n">
        <f aca="false">J17</f>
        <v>9822</v>
      </c>
    </row>
    <row r="18" customFormat="false" ht="19.5" hidden="false" customHeight="true" outlineLevel="0" collapsed="false">
      <c r="A18" s="50" t="s">
        <v>149</v>
      </c>
      <c r="B18" s="39" t="n">
        <v>37720</v>
      </c>
      <c r="C18" s="39" t="n">
        <v>42684</v>
      </c>
      <c r="D18" s="39" t="n">
        <v>47493</v>
      </c>
      <c r="E18" s="39" t="n">
        <v>60845</v>
      </c>
      <c r="F18" s="39" t="n">
        <v>58829</v>
      </c>
      <c r="G18" s="40" t="n">
        <f aca="false">F18*1.04</f>
        <v>61182.16</v>
      </c>
      <c r="H18" s="40" t="n">
        <f aca="false">G18*1.04</f>
        <v>63629.4464</v>
      </c>
      <c r="I18" s="40" t="n">
        <f aca="false">H18*1.04</f>
        <v>66174.624256</v>
      </c>
      <c r="J18" s="40" t="n">
        <f aca="false">I18*1.04</f>
        <v>68821.60922624</v>
      </c>
      <c r="K18" s="40" t="n">
        <f aca="false">J18*1.04</f>
        <v>71574.4735952896</v>
      </c>
    </row>
    <row r="19" customFormat="false" ht="19.5" hidden="false" customHeight="true" outlineLevel="0" collapsed="false">
      <c r="A19" s="23" t="s">
        <v>150</v>
      </c>
      <c r="B19" s="42" t="n">
        <v>105718</v>
      </c>
      <c r="C19" s="42" t="n">
        <v>105392</v>
      </c>
      <c r="D19" s="42" t="n">
        <v>125481</v>
      </c>
      <c r="E19" s="42" t="n">
        <v>153982</v>
      </c>
      <c r="F19" s="42" t="n">
        <v>145308</v>
      </c>
      <c r="G19" s="43" t="n">
        <f aca="false">F19*1.03</f>
        <v>149667.24</v>
      </c>
      <c r="H19" s="43" t="n">
        <f aca="false">G19*1.03</f>
        <v>154157.2572</v>
      </c>
      <c r="I19" s="43" t="n">
        <f aca="false">H19*1.03</f>
        <v>158781.974916</v>
      </c>
      <c r="J19" s="43" t="n">
        <f aca="false">I19*1.03</f>
        <v>163545.43416348</v>
      </c>
      <c r="K19" s="43" t="n">
        <f aca="false">J19*1.03</f>
        <v>168451.797188384</v>
      </c>
    </row>
    <row r="20" customFormat="false" ht="19.5" hidden="false" customHeight="true" outlineLevel="0" collapsed="false">
      <c r="A20" s="50" t="s">
        <v>151</v>
      </c>
      <c r="B20" s="39" t="n">
        <v>91807</v>
      </c>
      <c r="C20" s="39" t="n">
        <v>98667</v>
      </c>
      <c r="D20" s="39" t="n">
        <v>109106</v>
      </c>
      <c r="E20" s="39" t="n">
        <v>98959</v>
      </c>
      <c r="F20" s="39" t="n">
        <v>95281</v>
      </c>
      <c r="G20" s="40" t="n">
        <f aca="false">F20</f>
        <v>95281</v>
      </c>
      <c r="H20" s="40" t="n">
        <f aca="false">G20</f>
        <v>95281</v>
      </c>
      <c r="I20" s="40" t="n">
        <f aca="false">H20</f>
        <v>95281</v>
      </c>
      <c r="J20" s="40" t="n">
        <f aca="false">I20</f>
        <v>95281</v>
      </c>
      <c r="K20" s="40" t="n">
        <f aca="false">J20</f>
        <v>95281</v>
      </c>
    </row>
    <row r="21" customFormat="false" ht="19.5" hidden="false" customHeight="true" outlineLevel="0" collapsed="false">
      <c r="A21" s="23" t="s">
        <v>152</v>
      </c>
      <c r="G21" s="43" t="n">
        <f aca="false">F21*1.03</f>
        <v>0</v>
      </c>
      <c r="H21" s="43" t="n">
        <f aca="false">G21*1.03</f>
        <v>0</v>
      </c>
      <c r="I21" s="43" t="n">
        <f aca="false">H21*1.03</f>
        <v>0</v>
      </c>
      <c r="J21" s="43" t="n">
        <f aca="false">I21*1.03</f>
        <v>0</v>
      </c>
      <c r="K21" s="43" t="n">
        <f aca="false">J21*1.03</f>
        <v>0</v>
      </c>
    </row>
    <row r="22" customFormat="false" ht="6" hidden="false" customHeight="true" outlineLevel="0" collapsed="false"/>
    <row r="23" customFormat="false" ht="19.5" hidden="false" customHeight="true" outlineLevel="0" collapsed="false">
      <c r="A23" s="37" t="s">
        <v>153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customFormat="false" ht="19.5" hidden="false" customHeight="true" outlineLevel="0" collapsed="false">
      <c r="A24" s="23" t="s">
        <v>154</v>
      </c>
      <c r="B24" s="42" t="n">
        <v>90488</v>
      </c>
      <c r="C24" s="42" t="n">
        <v>65339</v>
      </c>
      <c r="D24" s="42" t="n">
        <v>63090</v>
      </c>
      <c r="E24" s="42" t="n">
        <v>50672</v>
      </c>
      <c r="F24" s="42" t="n">
        <v>62146</v>
      </c>
      <c r="G24" s="43" t="n">
        <f aca="false">F24+'Income Statement'!G22*0.5</f>
        <v>71479.31542875</v>
      </c>
      <c r="H24" s="43" t="n">
        <f aca="false">G24+'Income Statement'!H22*0.5</f>
        <v>81695.3047543836</v>
      </c>
      <c r="I24" s="43" t="n">
        <f aca="false">H24+'Income Statement'!I22*0.5</f>
        <v>92940.2892222572</v>
      </c>
      <c r="J24" s="43" t="n">
        <f aca="false">I24+'Income Statement'!J22*0.5</f>
        <v>105218.180605141</v>
      </c>
      <c r="K24" s="43" t="n">
        <f aca="false">J24+'Income Statement'!K22*0.5</f>
        <v>118373.595332458</v>
      </c>
    </row>
    <row r="25" customFormat="false" ht="19.5" hidden="false" customHeight="true" outlineLevel="0" collapsed="false">
      <c r="A25" s="23" t="s">
        <v>155</v>
      </c>
      <c r="G25" s="43" t="n">
        <f aca="false">F25*1.03</f>
        <v>0</v>
      </c>
      <c r="H25" s="43" t="n">
        <f aca="false">G25*1.03</f>
        <v>0</v>
      </c>
      <c r="I25" s="43" t="n">
        <f aca="false">H25*1.03</f>
        <v>0</v>
      </c>
      <c r="J25" s="43" t="n">
        <f aca="false">I25*1.03</f>
        <v>0</v>
      </c>
      <c r="K25" s="43" t="n">
        <f aca="false">J25*1.03</f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1" min="2" style="1" width="13"/>
  </cols>
  <sheetData>
    <row r="1" customFormat="false" ht="30" hidden="false" customHeight="true" outlineLevel="0" collapsed="false">
      <c r="A1" s="31" t="s">
        <v>156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1.75" hidden="false" customHeight="true" outlineLevel="0" collapsed="false">
      <c r="A2" s="52"/>
      <c r="B2" s="48" t="s">
        <v>104</v>
      </c>
      <c r="C2" s="48" t="s">
        <v>105</v>
      </c>
      <c r="D2" s="48" t="s">
        <v>106</v>
      </c>
      <c r="E2" s="48" t="s">
        <v>107</v>
      </c>
      <c r="F2" s="48" t="s">
        <v>108</v>
      </c>
      <c r="G2" s="49" t="s">
        <v>45</v>
      </c>
      <c r="H2" s="49" t="s">
        <v>46</v>
      </c>
      <c r="I2" s="49" t="s">
        <v>47</v>
      </c>
      <c r="J2" s="49" t="s">
        <v>48</v>
      </c>
      <c r="K2" s="49" t="s">
        <v>49</v>
      </c>
    </row>
    <row r="3" customFormat="false" ht="19.5" hidden="false" customHeight="true" outlineLevel="0" collapsed="false">
      <c r="A3" s="37" t="s">
        <v>157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customFormat="false" ht="19.5" hidden="false" customHeight="true" outlineLevel="0" collapsed="false">
      <c r="A4" s="50" t="s">
        <v>127</v>
      </c>
      <c r="B4" s="39" t="n">
        <v>55256</v>
      </c>
      <c r="C4" s="39" t="n">
        <v>57411</v>
      </c>
      <c r="D4" s="39" t="n">
        <v>94680</v>
      </c>
      <c r="E4" s="39" t="n">
        <v>99803</v>
      </c>
      <c r="F4" s="39" t="n">
        <v>96995</v>
      </c>
      <c r="G4" s="40" t="n">
        <f aca="false">'Income Statement'!G22</f>
        <v>18666.6308575</v>
      </c>
      <c r="H4" s="40" t="n">
        <f aca="false">'Income Statement'!H22</f>
        <v>20431.9786512672</v>
      </c>
      <c r="I4" s="40" t="n">
        <f aca="false">'Income Statement'!I22</f>
        <v>22489.9689357472</v>
      </c>
      <c r="J4" s="40" t="n">
        <f aca="false">'Income Statement'!J22</f>
        <v>24555.7827657673</v>
      </c>
      <c r="K4" s="40" t="n">
        <f aca="false">'Income Statement'!K22</f>
        <v>26310.8294546337</v>
      </c>
    </row>
    <row r="5" customFormat="false" ht="19.5" hidden="false" customHeight="true" outlineLevel="0" collapsed="false">
      <c r="A5" s="51" t="s">
        <v>158</v>
      </c>
      <c r="B5" s="41" t="n">
        <v>12547</v>
      </c>
      <c r="C5" s="41" t="n">
        <v>11056</v>
      </c>
      <c r="D5" s="41" t="n">
        <v>11284</v>
      </c>
      <c r="E5" s="41" t="n">
        <v>11104</v>
      </c>
      <c r="F5" s="41" t="n">
        <v>11519</v>
      </c>
      <c r="G5" s="40" t="n">
        <f aca="false">'Income Statement'!G27</f>
        <v>11992.98765</v>
      </c>
      <c r="H5" s="40" t="n">
        <f aca="false">'Income Statement'!H27</f>
        <v>12404.74689265</v>
      </c>
      <c r="I5" s="40" t="n">
        <f aca="false">'Income Statement'!I27</f>
        <v>12935.156759784</v>
      </c>
      <c r="J5" s="40" t="n">
        <f aca="false">'Income Statement'!J27</f>
        <v>13408.6758911689</v>
      </c>
      <c r="K5" s="40" t="n">
        <f aca="false">'Income Statement'!K27</f>
        <v>13751.3420528322</v>
      </c>
    </row>
    <row r="6" customFormat="false" ht="19.5" hidden="false" customHeight="true" outlineLevel="0" collapsed="false">
      <c r="A6" s="50" t="s">
        <v>159</v>
      </c>
      <c r="B6" s="39" t="n">
        <v>1923</v>
      </c>
      <c r="C6" s="39" t="n">
        <v>5690</v>
      </c>
      <c r="D6" s="39" t="n">
        <v>-4911</v>
      </c>
      <c r="E6" s="39" t="n">
        <v>9490</v>
      </c>
      <c r="F6" s="39" t="n">
        <v>-6577</v>
      </c>
      <c r="G6" s="40" t="n">
        <f aca="false">-'Income Statement'!G5*0.005</f>
        <v>-1998.831275</v>
      </c>
      <c r="H6" s="40" t="n">
        <f aca="false">-'Income Statement'!H5*0.005</f>
        <v>-2138.74946425</v>
      </c>
      <c r="I6" s="40" t="n">
        <f aca="false">-'Income Statement'!I5*0.005</f>
        <v>-2309.84942139</v>
      </c>
      <c r="J6" s="40" t="n">
        <f aca="false">-'Income Statement'!J5*0.005</f>
        <v>-2483.08812799425</v>
      </c>
      <c r="K6" s="40" t="n">
        <f aca="false">-'Income Statement'!K5*0.005</f>
        <v>-2644.48885631388</v>
      </c>
    </row>
    <row r="7" customFormat="false" ht="19.5" hidden="false" customHeight="true" outlineLevel="0" collapsed="false">
      <c r="A7" s="51" t="s">
        <v>160</v>
      </c>
      <c r="B7" s="41" t="n">
        <v>-335</v>
      </c>
      <c r="C7" s="41" t="n">
        <v>6517</v>
      </c>
      <c r="D7" s="41" t="n">
        <v>2985</v>
      </c>
      <c r="E7" s="41" t="n">
        <v>1754</v>
      </c>
      <c r="F7" s="41" t="n">
        <v>8606</v>
      </c>
      <c r="G7" s="40" t="n">
        <f aca="false">F7*1.02</f>
        <v>8778.12</v>
      </c>
      <c r="H7" s="40" t="n">
        <f aca="false">G7*1.02</f>
        <v>8953.6824</v>
      </c>
      <c r="I7" s="40" t="n">
        <f aca="false">H7*1.02</f>
        <v>9132.756048</v>
      </c>
      <c r="J7" s="40" t="n">
        <f aca="false">I7*1.02</f>
        <v>9315.41116896</v>
      </c>
      <c r="K7" s="40" t="n">
        <f aca="false">J7*1.02</f>
        <v>9501.7193923392</v>
      </c>
    </row>
    <row r="8" customFormat="false" ht="19.5" hidden="false" customHeight="true" outlineLevel="0" collapsed="false">
      <c r="A8" s="23" t="s">
        <v>161</v>
      </c>
      <c r="B8" s="42" t="n">
        <v>69391</v>
      </c>
      <c r="C8" s="42" t="n">
        <v>80674</v>
      </c>
      <c r="D8" s="42" t="n">
        <v>104038</v>
      </c>
      <c r="E8" s="42" t="n">
        <v>122151</v>
      </c>
      <c r="F8" s="42" t="n">
        <v>110543</v>
      </c>
      <c r="G8" s="43" t="n">
        <f aca="false">G4+G5+G6+G7</f>
        <v>37438.9072325</v>
      </c>
      <c r="H8" s="43" t="n">
        <f aca="false">H4+H5+H6+H7</f>
        <v>39651.6584796673</v>
      </c>
      <c r="I8" s="43" t="n">
        <f aca="false">I4+I5+I6+I7</f>
        <v>42248.0323221412</v>
      </c>
      <c r="J8" s="43" t="n">
        <f aca="false">J4+J5+J6+J7</f>
        <v>44796.781697902</v>
      </c>
      <c r="K8" s="43" t="n">
        <f aca="false">K4+K5+K6+K7</f>
        <v>46919.4020434911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37" t="s">
        <v>162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customFormat="false" ht="19.5" hidden="false" customHeight="true" outlineLevel="0" collapsed="false">
      <c r="A11" s="51" t="s">
        <v>163</v>
      </c>
      <c r="B11" s="41" t="n">
        <v>-10495</v>
      </c>
      <c r="C11" s="41" t="n">
        <v>-7309</v>
      </c>
      <c r="D11" s="41" t="n">
        <v>-11085</v>
      </c>
      <c r="E11" s="41" t="n">
        <v>-10708</v>
      </c>
      <c r="F11" s="41" t="n">
        <v>-10959</v>
      </c>
      <c r="G11" s="40" t="n">
        <f aca="false">-'Income Statement'!G5*Assumptions!C12</f>
        <v>-0</v>
      </c>
      <c r="H11" s="40" t="n">
        <f aca="false">-'Income Statement'!H5*Assumptions!D12</f>
        <v>-0</v>
      </c>
      <c r="I11" s="40" t="n">
        <f aca="false">-'Income Statement'!I5*Assumptions!E12</f>
        <v>-0</v>
      </c>
      <c r="J11" s="40" t="n">
        <f aca="false">-'Income Statement'!J5*Assumptions!F12</f>
        <v>-0</v>
      </c>
      <c r="K11" s="40" t="n">
        <f aca="false">-'Income Statement'!K5*Assumptions!G12</f>
        <v>-0</v>
      </c>
    </row>
    <row r="12" customFormat="false" ht="19.5" hidden="false" customHeight="true" outlineLevel="0" collapsed="false">
      <c r="A12" s="50" t="s">
        <v>164</v>
      </c>
      <c r="B12" s="39" t="n">
        <v>-35401</v>
      </c>
      <c r="C12" s="39" t="n">
        <v>-3309</v>
      </c>
      <c r="D12" s="39" t="n">
        <v>-3460</v>
      </c>
      <c r="E12" s="39" t="n">
        <v>-11646</v>
      </c>
      <c r="F12" s="39" t="n">
        <v>7254</v>
      </c>
      <c r="G12" s="40" t="n">
        <f aca="false">F12*0.95</f>
        <v>6891.3</v>
      </c>
      <c r="H12" s="40" t="n">
        <f aca="false">G12*0.95</f>
        <v>6546.735</v>
      </c>
      <c r="I12" s="40" t="n">
        <f aca="false">H12*0.95</f>
        <v>6219.39825</v>
      </c>
      <c r="J12" s="40" t="n">
        <f aca="false">I12*0.95</f>
        <v>5908.4283375</v>
      </c>
      <c r="K12" s="40" t="n">
        <f aca="false">J12*0.95</f>
        <v>5613.006920625</v>
      </c>
    </row>
    <row r="13" customFormat="false" ht="19.5" hidden="false" customHeight="true" outlineLevel="0" collapsed="false">
      <c r="A13" s="23" t="s">
        <v>165</v>
      </c>
      <c r="B13" s="42" t="n">
        <v>-45896</v>
      </c>
      <c r="C13" s="42" t="n">
        <v>-10618</v>
      </c>
      <c r="D13" s="42" t="n">
        <v>-14545</v>
      </c>
      <c r="E13" s="42" t="n">
        <v>-22354</v>
      </c>
      <c r="F13" s="42" t="n">
        <v>-3705</v>
      </c>
      <c r="G13" s="43" t="n">
        <f aca="false">G11+G12</f>
        <v>6891.3</v>
      </c>
      <c r="H13" s="43" t="n">
        <f aca="false">H11+H12</f>
        <v>6546.735</v>
      </c>
      <c r="I13" s="43" t="n">
        <f aca="false">I11+I12</f>
        <v>6219.39825</v>
      </c>
      <c r="J13" s="43" t="n">
        <f aca="false">J11+J12</f>
        <v>5908.4283375</v>
      </c>
      <c r="K13" s="43" t="n">
        <f aca="false">K11+K12</f>
        <v>5613.006920625</v>
      </c>
    </row>
    <row r="14" customFormat="false" ht="6" hidden="false" customHeight="true" outlineLevel="0" collapsed="false"/>
    <row r="15" customFormat="false" ht="19.5" hidden="false" customHeight="true" outlineLevel="0" collapsed="false">
      <c r="A15" s="37" t="s">
        <v>166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customFormat="false" ht="19.5" hidden="false" customHeight="true" outlineLevel="0" collapsed="false">
      <c r="A16" s="50" t="s">
        <v>167</v>
      </c>
      <c r="B16" s="39" t="n">
        <v>-7819</v>
      </c>
      <c r="C16" s="39" t="n">
        <v>-975</v>
      </c>
      <c r="D16" s="39" t="n">
        <v>-14210</v>
      </c>
      <c r="E16" s="39" t="n">
        <v>-9543</v>
      </c>
      <c r="F16" s="39" t="n">
        <v>-5228</v>
      </c>
      <c r="G16" s="40" t="n">
        <f aca="false">F16</f>
        <v>-5228</v>
      </c>
      <c r="H16" s="40" t="n">
        <f aca="false">G16</f>
        <v>-5228</v>
      </c>
      <c r="I16" s="40" t="n">
        <f aca="false">H16</f>
        <v>-5228</v>
      </c>
      <c r="J16" s="40" t="n">
        <f aca="false">I16</f>
        <v>-5228</v>
      </c>
      <c r="K16" s="40" t="n">
        <f aca="false">J16</f>
        <v>-5228</v>
      </c>
    </row>
    <row r="17" customFormat="false" ht="19.5" hidden="false" customHeight="true" outlineLevel="0" collapsed="false">
      <c r="A17" s="51" t="s">
        <v>168</v>
      </c>
      <c r="B17" s="41" t="n">
        <v>-66897</v>
      </c>
      <c r="C17" s="41" t="n">
        <v>-72358</v>
      </c>
      <c r="D17" s="41" t="n">
        <v>-85971</v>
      </c>
      <c r="E17" s="41" t="n">
        <v>-89402</v>
      </c>
      <c r="F17" s="41" t="n">
        <v>-77550</v>
      </c>
      <c r="G17" s="40" t="n">
        <f aca="false">-'Income Statement'!G5*0.2</f>
        <v>-79953.251</v>
      </c>
      <c r="H17" s="40" t="n">
        <f aca="false">-'Income Statement'!H5*0.2</f>
        <v>-85549.97857</v>
      </c>
      <c r="I17" s="40" t="n">
        <f aca="false">-'Income Statement'!I5*0.2</f>
        <v>-92393.9768556</v>
      </c>
      <c r="J17" s="40" t="n">
        <f aca="false">-'Income Statement'!J5*0.2</f>
        <v>-99323.52511977</v>
      </c>
      <c r="K17" s="40" t="n">
        <f aca="false">-'Income Statement'!K5*0.2</f>
        <v>-105779.554252555</v>
      </c>
    </row>
    <row r="18" customFormat="false" ht="19.5" hidden="false" customHeight="true" outlineLevel="0" collapsed="false">
      <c r="A18" s="50" t="s">
        <v>169</v>
      </c>
      <c r="B18" s="39" t="n">
        <v>-14119</v>
      </c>
      <c r="C18" s="39" t="n">
        <v>-14081</v>
      </c>
      <c r="D18" s="39" t="n">
        <v>-14467</v>
      </c>
      <c r="E18" s="39" t="n">
        <v>-14841</v>
      </c>
      <c r="F18" s="39" t="n">
        <v>-15025</v>
      </c>
      <c r="G18" s="40" t="n">
        <f aca="false">F18*1.04</f>
        <v>-15626</v>
      </c>
      <c r="H18" s="40" t="n">
        <f aca="false">G18*1.04</f>
        <v>-16251.04</v>
      </c>
      <c r="I18" s="40" t="n">
        <f aca="false">H18*1.04</f>
        <v>-16901.0816</v>
      </c>
      <c r="J18" s="40" t="n">
        <f aca="false">I18*1.04</f>
        <v>-17577.124864</v>
      </c>
      <c r="K18" s="40" t="n">
        <f aca="false">J18*1.04</f>
        <v>-18280.20985856</v>
      </c>
    </row>
    <row r="19" customFormat="false" ht="19.5" hidden="false" customHeight="true" outlineLevel="0" collapsed="false">
      <c r="A19" s="23" t="s">
        <v>170</v>
      </c>
      <c r="B19" s="42" t="n">
        <v>-90976</v>
      </c>
      <c r="C19" s="42" t="n">
        <v>-86820</v>
      </c>
      <c r="D19" s="42" t="n">
        <v>-93353</v>
      </c>
      <c r="E19" s="42" t="n">
        <v>-110749</v>
      </c>
      <c r="F19" s="42" t="n">
        <v>-108488</v>
      </c>
      <c r="G19" s="43" t="n">
        <f aca="false">G16+G17+G18</f>
        <v>-100807.251</v>
      </c>
      <c r="H19" s="43" t="n">
        <f aca="false">H16+H17+H18</f>
        <v>-107029.01857</v>
      </c>
      <c r="I19" s="43" t="n">
        <f aca="false">I16+I17+I18</f>
        <v>-114523.0584556</v>
      </c>
      <c r="J19" s="43" t="n">
        <f aca="false">J16+J17+J18</f>
        <v>-122128.64998377</v>
      </c>
      <c r="K19" s="43" t="n">
        <f aca="false">K16+K17+K18</f>
        <v>-129287.764111115</v>
      </c>
    </row>
    <row r="20" customFormat="false" ht="6" hidden="false" customHeight="true" outlineLevel="0" collapsed="false"/>
    <row r="21" customFormat="false" ht="19.5" hidden="false" customHeight="true" outlineLevel="0" collapsed="false">
      <c r="A21" s="37" t="s">
        <v>171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customFormat="false" ht="19.5" hidden="false" customHeight="true" outlineLevel="0" collapsed="false">
      <c r="A22" s="23" t="s">
        <v>172</v>
      </c>
      <c r="B22" s="42" t="n">
        <v>58896</v>
      </c>
      <c r="C22" s="42" t="n">
        <v>73365</v>
      </c>
      <c r="D22" s="42" t="n">
        <v>92953</v>
      </c>
      <c r="E22" s="42" t="n">
        <v>111443</v>
      </c>
      <c r="F22" s="42" t="n">
        <v>99584</v>
      </c>
      <c r="G22" s="43" t="n">
        <f aca="false">G8+G11</f>
        <v>37438.9072325</v>
      </c>
      <c r="H22" s="43" t="n">
        <f aca="false">H8+H11</f>
        <v>39651.6584796673</v>
      </c>
      <c r="I22" s="43" t="n">
        <f aca="false">I8+I11</f>
        <v>42248.0323221412</v>
      </c>
      <c r="J22" s="43" t="n">
        <f aca="false">J8+J11</f>
        <v>44796.781697902</v>
      </c>
      <c r="K22" s="43" t="n">
        <f aca="false">K8+K11</f>
        <v>46919.4020434911</v>
      </c>
    </row>
    <row r="23" customFormat="false" ht="19.5" hidden="false" customHeight="true" outlineLevel="0" collapsed="false">
      <c r="A23" s="15" t="s">
        <v>173</v>
      </c>
      <c r="B23" s="53" t="n">
        <v>0.226371582095059</v>
      </c>
      <c r="C23" s="53" t="n">
        <v>0.26725315556527</v>
      </c>
      <c r="D23" s="53" t="n">
        <v>0.254096993852117</v>
      </c>
      <c r="E23" s="53" t="n">
        <v>0.28261498042239</v>
      </c>
      <c r="F23" s="53" t="n">
        <v>0.259817107374408</v>
      </c>
      <c r="G23" s="44" t="n">
        <f aca="false">G22/'Income Statement'!G5</f>
        <v>0.0936519947950584</v>
      </c>
      <c r="H23" s="44" t="n">
        <f aca="false">H22/'Income Statement'!H5</f>
        <v>0.0926982312385336</v>
      </c>
      <c r="I23" s="44" t="n">
        <f aca="false">I22/'Income Statement'!I5</f>
        <v>0.0914519187504386</v>
      </c>
      <c r="J23" s="44" t="n">
        <f aca="false">J22/'Income Statement'!J5</f>
        <v>0.0902037692357042</v>
      </c>
      <c r="K23" s="44" t="n">
        <f aca="false">K22/'Income Statement'!K5</f>
        <v>0.0887116652646659</v>
      </c>
    </row>
    <row r="24" customFormat="false" ht="19.5" hidden="false" customHeight="true" outlineLevel="0" collapsed="false">
      <c r="A24" s="17" t="s">
        <v>174</v>
      </c>
      <c r="B24" s="54"/>
      <c r="C24" s="55" t="n">
        <v>0.245670334148329</v>
      </c>
      <c r="D24" s="55" t="n">
        <v>0.266993798132625</v>
      </c>
      <c r="E24" s="55" t="n">
        <v>0.198917732617559</v>
      </c>
      <c r="F24" s="55" t="n">
        <v>-0.106413143939054</v>
      </c>
      <c r="G24" s="44" t="n">
        <f aca="false">(G22-F22)/ABS(F22)</f>
        <v>-0.624046963041252</v>
      </c>
      <c r="H24" s="44" t="n">
        <f aca="false">(H22-G22)/ABS(G22)</f>
        <v>0.0591029869922701</v>
      </c>
      <c r="I24" s="44" t="n">
        <f aca="false">(I22-H22)/ABS(H22)</f>
        <v>0.0654795774508476</v>
      </c>
      <c r="J24" s="44" t="n">
        <f aca="false">(J22-I22)/ABS(I22)</f>
        <v>0.0603282386343259</v>
      </c>
      <c r="K24" s="44" t="n">
        <f aca="false">(K22-J22)/ABS(J22)</f>
        <v>0.0473833223088105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6"/>
  </cols>
  <sheetData>
    <row r="1" customFormat="false" ht="30" hidden="false" customHeight="true" outlineLevel="0" collapsed="false">
      <c r="A1" s="31" t="s">
        <v>175</v>
      </c>
      <c r="B1" s="31"/>
      <c r="C1" s="31"/>
      <c r="D1" s="31"/>
      <c r="E1" s="31"/>
      <c r="F1" s="31"/>
      <c r="G1" s="31"/>
      <c r="H1" s="31"/>
    </row>
    <row r="2" customFormat="false" ht="7.5" hidden="false" customHeight="true" outlineLevel="0" collapsed="false"/>
    <row r="3" customFormat="false" ht="21.75" hidden="false" customHeight="true" outlineLevel="0" collapsed="false">
      <c r="A3" s="56" t="s">
        <v>176</v>
      </c>
      <c r="B3" s="56"/>
      <c r="C3" s="56"/>
      <c r="D3" s="56"/>
      <c r="E3" s="56"/>
      <c r="F3" s="56"/>
      <c r="G3" s="56"/>
      <c r="H3" s="56"/>
    </row>
    <row r="4" customFormat="false" ht="19.5" hidden="false" customHeight="true" outlineLevel="0" collapsed="false">
      <c r="A4" s="14" t="s">
        <v>177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</row>
    <row r="5" customFormat="false" ht="19.5" hidden="false" customHeight="true" outlineLevel="0" collapsed="false">
      <c r="A5" s="5" t="s">
        <v>178</v>
      </c>
      <c r="B5" s="40" t="n">
        <f aca="false">'Income Statement'!G5</f>
        <v>399766.255</v>
      </c>
      <c r="C5" s="40" t="n">
        <f aca="false">'Income Statement'!H5</f>
        <v>427749.89285</v>
      </c>
      <c r="D5" s="40" t="n">
        <f aca="false">'Income Statement'!I5</f>
        <v>461969.884278</v>
      </c>
      <c r="E5" s="40" t="n">
        <f aca="false">'Income Statement'!J5</f>
        <v>496617.62559885</v>
      </c>
      <c r="F5" s="40" t="n">
        <f aca="false">'Income Statement'!K5</f>
        <v>528897.771262775</v>
      </c>
    </row>
    <row r="6" customFormat="false" ht="19.5" hidden="false" customHeight="true" outlineLevel="0" collapsed="false">
      <c r="A6" s="11" t="s">
        <v>179</v>
      </c>
      <c r="B6" s="54" t="n">
        <f aca="false">'Income Statement'!G16</f>
        <v>119929.8765</v>
      </c>
      <c r="C6" s="54" t="n">
        <f aca="false">'Income Statement'!H16</f>
        <v>131319.21710495</v>
      </c>
      <c r="D6" s="54" t="n">
        <f aca="false">'Income Statement'!I16</f>
        <v>144596.573779014</v>
      </c>
      <c r="E6" s="54" t="n">
        <f aca="false">'Income Statement'!J16</f>
        <v>157924.404940434</v>
      </c>
      <c r="F6" s="54" t="n">
        <f aca="false">'Income Statement'!K16</f>
        <v>169247.286804088</v>
      </c>
    </row>
    <row r="7" customFormat="false" ht="19.5" hidden="false" customHeight="true" outlineLevel="0" collapsed="false">
      <c r="A7" s="5" t="s">
        <v>180</v>
      </c>
      <c r="B7" s="40" t="n">
        <f aca="false">-B6*Assumptions!C9</f>
        <v>-18589.1308575</v>
      </c>
      <c r="C7" s="40" t="n">
        <f aca="false">-C6*Assumptions!D9</f>
        <v>-20354.4786512672</v>
      </c>
      <c r="D7" s="40" t="n">
        <f aca="false">-D6*Assumptions!E9</f>
        <v>-22412.4689357472</v>
      </c>
      <c r="E7" s="40" t="n">
        <f aca="false">-E6*Assumptions!F9</f>
        <v>-24478.2827657673</v>
      </c>
      <c r="F7" s="40" t="n">
        <f aca="false">-F6*Assumptions!G9</f>
        <v>-26233.3294546337</v>
      </c>
    </row>
    <row r="8" customFormat="false" ht="19.5" hidden="false" customHeight="true" outlineLevel="0" collapsed="false">
      <c r="A8" s="11" t="s">
        <v>181</v>
      </c>
      <c r="B8" s="54" t="n">
        <f aca="false">'Income Statement'!G27</f>
        <v>11992.98765</v>
      </c>
      <c r="C8" s="54" t="n">
        <f aca="false">'Income Statement'!H27</f>
        <v>12404.74689265</v>
      </c>
      <c r="D8" s="54" t="n">
        <f aca="false">'Income Statement'!I27</f>
        <v>12935.156759784</v>
      </c>
      <c r="E8" s="54" t="n">
        <f aca="false">'Income Statement'!J27</f>
        <v>13408.6758911689</v>
      </c>
      <c r="F8" s="54" t="n">
        <f aca="false">'Income Statement'!K27</f>
        <v>13751.3420528322</v>
      </c>
    </row>
    <row r="9" customFormat="false" ht="19.5" hidden="false" customHeight="true" outlineLevel="0" collapsed="false">
      <c r="A9" s="5" t="s">
        <v>182</v>
      </c>
      <c r="B9" s="40" t="n">
        <f aca="false">'Cash Flow'!G11</f>
        <v>-0</v>
      </c>
      <c r="C9" s="40" t="n">
        <f aca="false">'Cash Flow'!H11</f>
        <v>-0</v>
      </c>
      <c r="D9" s="40" t="n">
        <f aca="false">'Cash Flow'!I11</f>
        <v>-0</v>
      </c>
      <c r="E9" s="40" t="n">
        <f aca="false">'Cash Flow'!J11</f>
        <v>-0</v>
      </c>
      <c r="F9" s="40" t="n">
        <f aca="false">'Cash Flow'!K11</f>
        <v>-0</v>
      </c>
    </row>
    <row r="10" customFormat="false" ht="19.5" hidden="false" customHeight="true" outlineLevel="0" collapsed="false">
      <c r="A10" s="11" t="s">
        <v>183</v>
      </c>
      <c r="B10" s="54" t="n">
        <f aca="false">'Cash Flow'!G6</f>
        <v>-1998.831275</v>
      </c>
      <c r="C10" s="54" t="n">
        <f aca="false">'Cash Flow'!H6</f>
        <v>-2138.74946425</v>
      </c>
      <c r="D10" s="54" t="n">
        <f aca="false">'Cash Flow'!I6</f>
        <v>-2309.84942139</v>
      </c>
      <c r="E10" s="54" t="n">
        <f aca="false">'Cash Flow'!J6</f>
        <v>-2483.08812799425</v>
      </c>
      <c r="F10" s="54" t="n">
        <f aca="false">'Cash Flow'!K6</f>
        <v>-2644.48885631388</v>
      </c>
    </row>
    <row r="11" customFormat="false" ht="19.5" hidden="false" customHeight="true" outlineLevel="0" collapsed="false">
      <c r="A11" s="23" t="s">
        <v>184</v>
      </c>
      <c r="B11" s="43" t="n">
        <f aca="false">B6+B7+B8+B9+B10</f>
        <v>111334.9020175</v>
      </c>
      <c r="C11" s="43" t="n">
        <f aca="false">C6+C7+C8+C9+C10</f>
        <v>121230.735882083</v>
      </c>
      <c r="D11" s="43" t="n">
        <f aca="false">D6+D7+D8+D9+D10</f>
        <v>132809.412181661</v>
      </c>
      <c r="E11" s="43" t="n">
        <f aca="false">E6+E7+E8+E9+E10</f>
        <v>144371.709937842</v>
      </c>
      <c r="F11" s="43" t="n">
        <f aca="false">F6+F7+F8+F9+F10</f>
        <v>154120.810545973</v>
      </c>
    </row>
    <row r="12" customFormat="false" ht="19.5" hidden="false" customHeight="true" outlineLevel="0" collapsed="false">
      <c r="A12" s="11" t="s">
        <v>185</v>
      </c>
      <c r="B12" s="46" t="s">
        <v>186</v>
      </c>
      <c r="C12" s="46" t="n">
        <f aca="false">(C11-B11)/ABS(B11)</f>
        <v>0.0888834829443448</v>
      </c>
      <c r="D12" s="46" t="n">
        <f aca="false">(D11-C11)/ABS(C11)</f>
        <v>0.0955094119930135</v>
      </c>
      <c r="E12" s="46" t="n">
        <f aca="false">(E11-D11)/ABS(D11)</f>
        <v>0.0870593248343397</v>
      </c>
      <c r="F12" s="46" t="n">
        <f aca="false">(F11-E11)/ABS(E11)</f>
        <v>0.0675277768222628</v>
      </c>
    </row>
    <row r="14" customFormat="false" ht="7.5" hidden="false" customHeight="true" outlineLevel="0" collapsed="false"/>
    <row r="15" customFormat="false" ht="21.75" hidden="false" customHeight="true" outlineLevel="0" collapsed="false">
      <c r="A15" s="56" t="s">
        <v>187</v>
      </c>
      <c r="B15" s="56"/>
      <c r="C15" s="56"/>
      <c r="D15" s="56"/>
      <c r="E15" s="56"/>
      <c r="F15" s="56"/>
      <c r="G15" s="56"/>
      <c r="H15" s="56"/>
    </row>
    <row r="16" customFormat="false" ht="19.5" hidden="false" customHeight="true" outlineLevel="0" collapsed="false">
      <c r="A16" s="57" t="s">
        <v>95</v>
      </c>
      <c r="B16" s="58" t="n">
        <f aca="false">Assumptions!C33</f>
        <v>0.1055948</v>
      </c>
      <c r="C16" s="58"/>
      <c r="D16" s="58"/>
      <c r="E16" s="58"/>
      <c r="F16" s="58"/>
      <c r="G16" s="58"/>
      <c r="H16" s="58"/>
    </row>
    <row r="17" customFormat="false" ht="19.5" hidden="false" customHeight="true" outlineLevel="0" collapsed="false">
      <c r="A17" s="15" t="s">
        <v>188</v>
      </c>
      <c r="B17" s="59" t="n">
        <v>1</v>
      </c>
      <c r="C17" s="59" t="n">
        <v>2</v>
      </c>
      <c r="D17" s="59" t="n">
        <v>3</v>
      </c>
      <c r="E17" s="59" t="n">
        <v>4</v>
      </c>
      <c r="F17" s="59" t="n">
        <v>5</v>
      </c>
    </row>
    <row r="18" customFormat="false" ht="19.5" hidden="false" customHeight="true" outlineLevel="0" collapsed="false">
      <c r="A18" s="17" t="s">
        <v>189</v>
      </c>
      <c r="B18" s="60" t="n">
        <f aca="false">1/(1+$B$16)^B17</f>
        <v>0.904490505924956</v>
      </c>
      <c r="C18" s="60" t="n">
        <f aca="false">1/(1+$B$16)^C17</f>
        <v>0.818103075308382</v>
      </c>
      <c r="D18" s="60" t="n">
        <f aca="false">1/(1+$B$16)^D17</f>
        <v>0.73996646448444</v>
      </c>
      <c r="E18" s="60" t="n">
        <f aca="false">1/(1+$B$16)^E17</f>
        <v>0.669292641829032</v>
      </c>
      <c r="F18" s="60" t="n">
        <f aca="false">1/(1+$B$16)^F17</f>
        <v>0.605368840219791</v>
      </c>
    </row>
    <row r="19" customFormat="false" ht="19.5" hidden="false" customHeight="true" outlineLevel="0" collapsed="false">
      <c r="A19" s="15" t="s">
        <v>190</v>
      </c>
      <c r="B19" s="61" t="n">
        <f aca="false">B18*B11</f>
        <v>100701.361852914</v>
      </c>
      <c r="C19" s="61" t="n">
        <f aca="false">C18*C11</f>
        <v>99179.2378470301</v>
      </c>
      <c r="D19" s="61" t="n">
        <f aca="false">D18*D11</f>
        <v>98274.5111823203</v>
      </c>
      <c r="E19" s="61" t="n">
        <f aca="false">E18*E11</f>
        <v>96626.9231496728</v>
      </c>
      <c r="F19" s="61" t="n">
        <f aca="false">F18*F11</f>
        <v>93299.9363339497</v>
      </c>
    </row>
    <row r="21" customFormat="false" ht="19.5" hidden="false" customHeight="true" outlineLevel="0" collapsed="false">
      <c r="A21" s="62" t="s">
        <v>191</v>
      </c>
      <c r="B21" s="63" t="n">
        <f aca="false">SUM(B19:F19)</f>
        <v>488081.970365887</v>
      </c>
      <c r="C21" s="63"/>
      <c r="D21" s="63"/>
      <c r="E21" s="63"/>
      <c r="F21" s="63"/>
      <c r="G21" s="63"/>
      <c r="H21" s="63"/>
    </row>
    <row r="23" customFormat="false" ht="7.5" hidden="false" customHeight="true" outlineLevel="0" collapsed="false"/>
    <row r="24" customFormat="false" ht="21.75" hidden="false" customHeight="true" outlineLevel="0" collapsed="false">
      <c r="A24" s="56" t="s">
        <v>192</v>
      </c>
      <c r="B24" s="56"/>
      <c r="C24" s="56"/>
      <c r="D24" s="56"/>
      <c r="E24" s="56"/>
      <c r="F24" s="56"/>
      <c r="G24" s="56"/>
      <c r="H24" s="56"/>
    </row>
    <row r="25" customFormat="false" ht="19.5" hidden="false" customHeight="true" outlineLevel="0" collapsed="false">
      <c r="A25" s="15" t="s">
        <v>193</v>
      </c>
      <c r="B25" s="64" t="n">
        <v>0.03</v>
      </c>
      <c r="C25" s="64"/>
      <c r="D25" s="64"/>
      <c r="E25" s="64"/>
      <c r="F25" s="64"/>
      <c r="G25" s="64"/>
      <c r="H25" s="64"/>
    </row>
    <row r="26" customFormat="false" ht="19.5" hidden="false" customHeight="true" outlineLevel="0" collapsed="false">
      <c r="A26" s="17" t="s">
        <v>194</v>
      </c>
      <c r="B26" s="65" t="n">
        <f aca="false">F11</f>
        <v>154120.810545973</v>
      </c>
      <c r="C26" s="65"/>
      <c r="D26" s="65"/>
      <c r="E26" s="65"/>
      <c r="F26" s="65"/>
      <c r="G26" s="65"/>
      <c r="H26" s="65"/>
    </row>
    <row r="27" customFormat="false" ht="19.5" hidden="false" customHeight="true" outlineLevel="0" collapsed="false">
      <c r="A27" s="15" t="s">
        <v>195</v>
      </c>
      <c r="B27" s="61" t="n">
        <f aca="false">B26*(1+B25)/(B16-B25)</f>
        <v>2099938.55215374</v>
      </c>
      <c r="C27" s="61"/>
      <c r="D27" s="61"/>
      <c r="E27" s="61"/>
      <c r="F27" s="61"/>
      <c r="G27" s="61"/>
      <c r="H27" s="61"/>
    </row>
    <row r="28" customFormat="false" ht="6" hidden="false" customHeight="true" outlineLevel="0" collapsed="false"/>
    <row r="29" customFormat="false" ht="19.5" hidden="false" customHeight="true" outlineLevel="0" collapsed="false">
      <c r="A29" s="15" t="s">
        <v>196</v>
      </c>
      <c r="B29" s="66" t="n">
        <v>22</v>
      </c>
      <c r="C29" s="66"/>
      <c r="D29" s="66"/>
      <c r="E29" s="66"/>
      <c r="F29" s="66"/>
      <c r="G29" s="66"/>
      <c r="H29" s="66"/>
    </row>
    <row r="30" customFormat="false" ht="19.5" hidden="false" customHeight="true" outlineLevel="0" collapsed="false">
      <c r="A30" s="17" t="s">
        <v>197</v>
      </c>
      <c r="B30" s="65" t="n">
        <f aca="false">'Income Statement'!K28</f>
        <v>182998.62885692</v>
      </c>
      <c r="C30" s="65"/>
      <c r="D30" s="65"/>
      <c r="E30" s="65"/>
      <c r="F30" s="65"/>
      <c r="G30" s="65"/>
      <c r="H30" s="65"/>
    </row>
    <row r="31" customFormat="false" ht="19.5" hidden="false" customHeight="true" outlineLevel="0" collapsed="false">
      <c r="A31" s="15" t="s">
        <v>198</v>
      </c>
      <c r="B31" s="61" t="n">
        <f aca="false">B29*B30</f>
        <v>4025969.83485225</v>
      </c>
      <c r="C31" s="61"/>
      <c r="D31" s="61"/>
      <c r="E31" s="61"/>
      <c r="F31" s="61"/>
      <c r="G31" s="61"/>
      <c r="H31" s="61"/>
    </row>
    <row r="32" customFormat="false" ht="6" hidden="false" customHeight="true" outlineLevel="0" collapsed="false"/>
    <row r="33" customFormat="false" ht="19.5" hidden="false" customHeight="true" outlineLevel="0" collapsed="false">
      <c r="A33" s="15" t="s">
        <v>199</v>
      </c>
      <c r="B33" s="61" t="n">
        <f aca="false">AVERAGE(B27,B31)</f>
        <v>3062954.193503</v>
      </c>
      <c r="C33" s="61"/>
      <c r="D33" s="61"/>
      <c r="E33" s="61"/>
      <c r="F33" s="61"/>
      <c r="G33" s="61"/>
      <c r="H33" s="61"/>
    </row>
    <row r="34" customFormat="false" ht="19.5" hidden="false" customHeight="true" outlineLevel="0" collapsed="false">
      <c r="A34" s="17" t="s">
        <v>200</v>
      </c>
      <c r="B34" s="65" t="n">
        <f aca="false">B33/(1+B16)^5</f>
        <v>1854217.02776725</v>
      </c>
      <c r="C34" s="65"/>
      <c r="D34" s="65"/>
      <c r="E34" s="65"/>
      <c r="F34" s="65"/>
      <c r="G34" s="65"/>
      <c r="H34" s="65"/>
    </row>
    <row r="35" customFormat="false" ht="19.5" hidden="false" customHeight="true" outlineLevel="0" collapsed="false">
      <c r="A35" s="15" t="s">
        <v>201</v>
      </c>
      <c r="B35" s="67" t="n">
        <f aca="false">B34/(B21+B34)</f>
        <v>0.791622687472907</v>
      </c>
      <c r="C35" s="67"/>
      <c r="D35" s="67"/>
      <c r="E35" s="67"/>
      <c r="F35" s="67"/>
      <c r="G35" s="67"/>
      <c r="H35" s="67"/>
    </row>
    <row r="37" customFormat="false" ht="7.5" hidden="false" customHeight="true" outlineLevel="0" collapsed="false"/>
    <row r="38" customFormat="false" ht="21.75" hidden="false" customHeight="true" outlineLevel="0" collapsed="false">
      <c r="A38" s="14" t="s">
        <v>202</v>
      </c>
      <c r="B38" s="14"/>
      <c r="C38" s="14"/>
      <c r="D38" s="14"/>
      <c r="E38" s="14"/>
      <c r="F38" s="14"/>
      <c r="G38" s="14"/>
      <c r="H38" s="14"/>
    </row>
    <row r="39" customFormat="false" ht="21.75" hidden="false" customHeight="true" outlineLevel="0" collapsed="false">
      <c r="A39" s="15" t="s">
        <v>203</v>
      </c>
      <c r="B39" s="61" t="n">
        <f aca="false">B21</f>
        <v>488081.970365887</v>
      </c>
      <c r="C39" s="61"/>
      <c r="D39" s="61"/>
      <c r="E39" s="61"/>
      <c r="F39" s="61"/>
      <c r="G39" s="61"/>
      <c r="H39" s="61"/>
    </row>
    <row r="40" customFormat="false" ht="21.75" hidden="false" customHeight="true" outlineLevel="0" collapsed="false">
      <c r="A40" s="17" t="s">
        <v>204</v>
      </c>
      <c r="B40" s="65" t="n">
        <f aca="false">B33</f>
        <v>3062954.193503</v>
      </c>
      <c r="C40" s="65"/>
      <c r="D40" s="65"/>
      <c r="E40" s="65"/>
      <c r="F40" s="65"/>
      <c r="G40" s="65"/>
      <c r="H40" s="65"/>
    </row>
    <row r="41" customFormat="false" ht="21.75" hidden="false" customHeight="true" outlineLevel="0" collapsed="false">
      <c r="A41" s="62" t="s">
        <v>205</v>
      </c>
      <c r="B41" s="63" t="n">
        <f aca="false">B39+B40</f>
        <v>3551036.16386888</v>
      </c>
      <c r="C41" s="63"/>
      <c r="D41" s="63"/>
      <c r="E41" s="63"/>
      <c r="F41" s="63"/>
      <c r="G41" s="63"/>
      <c r="H41" s="63"/>
    </row>
    <row r="42" customFormat="false" ht="21.75" hidden="false" customHeight="true" outlineLevel="0" collapsed="false">
      <c r="A42" s="17" t="s">
        <v>206</v>
      </c>
      <c r="B42" s="68" t="s">
        <v>207</v>
      </c>
      <c r="C42" s="68"/>
      <c r="D42" s="68"/>
      <c r="E42" s="68"/>
      <c r="F42" s="68"/>
      <c r="G42" s="68"/>
      <c r="H42" s="68"/>
    </row>
    <row r="43" customFormat="false" ht="21.75" hidden="false" customHeight="true" outlineLevel="0" collapsed="false">
      <c r="A43" s="62" t="s">
        <v>208</v>
      </c>
      <c r="B43" s="63" t="n">
        <f aca="false">B41+B42</f>
        <v>3485320.16386888</v>
      </c>
      <c r="C43" s="63"/>
      <c r="D43" s="63"/>
      <c r="E43" s="63"/>
      <c r="F43" s="63"/>
      <c r="G43" s="63"/>
      <c r="H43" s="63"/>
    </row>
    <row r="44" customFormat="false" ht="21.75" hidden="false" customHeight="true" outlineLevel="0" collapsed="false">
      <c r="A44" s="17" t="s">
        <v>209</v>
      </c>
      <c r="B44" s="69" t="s">
        <v>210</v>
      </c>
      <c r="C44" s="69"/>
      <c r="D44" s="69"/>
      <c r="E44" s="69"/>
      <c r="F44" s="69"/>
      <c r="G44" s="69"/>
      <c r="H44" s="69"/>
    </row>
    <row r="45" customFormat="false" ht="21.75" hidden="false" customHeight="true" outlineLevel="0" collapsed="false">
      <c r="A45" s="62" t="s">
        <v>211</v>
      </c>
      <c r="B45" s="70" t="n">
        <f aca="false">B43/B44</f>
        <v>225.718552157819</v>
      </c>
      <c r="C45" s="70"/>
      <c r="D45" s="70"/>
      <c r="E45" s="70"/>
      <c r="F45" s="70"/>
      <c r="G45" s="70"/>
      <c r="H45" s="70"/>
    </row>
    <row r="46" customFormat="false" ht="21.75" hidden="false" customHeight="true" outlineLevel="0" collapsed="false">
      <c r="A46" s="17" t="s">
        <v>212</v>
      </c>
      <c r="B46" s="71" t="s">
        <v>213</v>
      </c>
      <c r="C46" s="71"/>
      <c r="D46" s="71"/>
      <c r="E46" s="71"/>
      <c r="F46" s="71"/>
      <c r="G46" s="71"/>
      <c r="H46" s="71"/>
    </row>
    <row r="47" customFormat="false" ht="21.75" hidden="false" customHeight="true" outlineLevel="0" collapsed="false">
      <c r="A47" s="15" t="s">
        <v>214</v>
      </c>
      <c r="B47" s="67" t="n">
        <f aca="false">(B45-B46)/B46</f>
        <v>0.157531036706764</v>
      </c>
      <c r="C47" s="67"/>
      <c r="D47" s="67"/>
      <c r="E47" s="67"/>
      <c r="F47" s="67"/>
      <c r="G47" s="67"/>
      <c r="H47" s="67"/>
    </row>
  </sheetData>
  <mergeCells count="25">
    <mergeCell ref="A1:H1"/>
    <mergeCell ref="A3:H3"/>
    <mergeCell ref="A15:H15"/>
    <mergeCell ref="B16:H16"/>
    <mergeCell ref="B21:H21"/>
    <mergeCell ref="A24:H24"/>
    <mergeCell ref="B25:H25"/>
    <mergeCell ref="B26:H26"/>
    <mergeCell ref="B27:H27"/>
    <mergeCell ref="B29:H29"/>
    <mergeCell ref="B30:H30"/>
    <mergeCell ref="B31:H31"/>
    <mergeCell ref="B33:H33"/>
    <mergeCell ref="B34:H34"/>
    <mergeCell ref="B35:H35"/>
    <mergeCell ref="A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30" hidden="false" customHeight="true" outlineLevel="0" collapsed="false">
      <c r="A1" s="31" t="s">
        <v>215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18" hidden="false" customHeight="true" outlineLevel="0" collapsed="false">
      <c r="A2" s="35" t="s">
        <v>216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21.75" hidden="false" customHeight="true" outlineLevel="0" collapsed="false">
      <c r="A3" s="14" t="s">
        <v>2</v>
      </c>
      <c r="B3" s="14" t="s">
        <v>217</v>
      </c>
      <c r="C3" s="14" t="s">
        <v>218</v>
      </c>
      <c r="D3" s="14" t="s">
        <v>219</v>
      </c>
      <c r="E3" s="14" t="s">
        <v>220</v>
      </c>
      <c r="F3" s="14" t="s">
        <v>221</v>
      </c>
      <c r="G3" s="14" t="s">
        <v>222</v>
      </c>
      <c r="H3" s="14" t="s">
        <v>223</v>
      </c>
      <c r="I3" s="14" t="s">
        <v>224</v>
      </c>
      <c r="J3" s="14" t="s">
        <v>225</v>
      </c>
    </row>
    <row r="4" customFormat="false" ht="21.75" hidden="false" customHeight="true" outlineLevel="0" collapsed="false">
      <c r="A4" s="72" t="s">
        <v>226</v>
      </c>
      <c r="B4" s="73" t="n">
        <v>2850</v>
      </c>
      <c r="C4" s="73" t="n">
        <v>2920</v>
      </c>
      <c r="D4" s="73" t="n">
        <v>385.6</v>
      </c>
      <c r="E4" s="73" t="n">
        <v>125.8</v>
      </c>
      <c r="F4" s="74" t="s">
        <v>227</v>
      </c>
      <c r="G4" s="74" t="s">
        <v>228</v>
      </c>
      <c r="H4" s="74" t="s">
        <v>229</v>
      </c>
      <c r="I4" s="74" t="s">
        <v>230</v>
      </c>
      <c r="J4" s="74" t="s">
        <v>231</v>
      </c>
    </row>
    <row r="5" customFormat="false" ht="21.75" hidden="false" customHeight="true" outlineLevel="0" collapsed="false">
      <c r="A5" s="17" t="s">
        <v>232</v>
      </c>
      <c r="B5" s="75" t="n">
        <v>3100</v>
      </c>
      <c r="C5" s="75" t="n">
        <v>3150</v>
      </c>
      <c r="D5" s="75" t="n">
        <v>236.6</v>
      </c>
      <c r="E5" s="75" t="n">
        <v>103.5</v>
      </c>
      <c r="F5" s="76" t="s">
        <v>233</v>
      </c>
      <c r="G5" s="76" t="s">
        <v>234</v>
      </c>
      <c r="H5" s="76" t="s">
        <v>235</v>
      </c>
      <c r="I5" s="76" t="s">
        <v>236</v>
      </c>
      <c r="J5" s="76" t="s">
        <v>237</v>
      </c>
    </row>
    <row r="6" customFormat="false" ht="21.75" hidden="false" customHeight="true" outlineLevel="0" collapsed="false">
      <c r="A6" s="15" t="s">
        <v>238</v>
      </c>
      <c r="B6" s="77" t="n">
        <v>2050</v>
      </c>
      <c r="C6" s="77" t="n">
        <v>1990</v>
      </c>
      <c r="D6" s="77" t="n">
        <v>307.4</v>
      </c>
      <c r="E6" s="77" t="n">
        <v>92</v>
      </c>
      <c r="F6" s="78" t="s">
        <v>239</v>
      </c>
      <c r="G6" s="78" t="s">
        <v>240</v>
      </c>
      <c r="H6" s="78" t="s">
        <v>241</v>
      </c>
      <c r="I6" s="78" t="s">
        <v>242</v>
      </c>
      <c r="J6" s="78" t="s">
        <v>243</v>
      </c>
    </row>
    <row r="7" customFormat="false" ht="21.75" hidden="false" customHeight="true" outlineLevel="0" collapsed="false">
      <c r="A7" s="17" t="s">
        <v>244</v>
      </c>
      <c r="B7" s="75" t="n">
        <v>1350</v>
      </c>
      <c r="C7" s="75" t="n">
        <v>1300</v>
      </c>
      <c r="D7" s="75" t="n">
        <v>134.9</v>
      </c>
      <c r="E7" s="75" t="n">
        <v>56.3</v>
      </c>
      <c r="F7" s="76" t="s">
        <v>245</v>
      </c>
      <c r="G7" s="76" t="s">
        <v>246</v>
      </c>
      <c r="H7" s="76" t="s">
        <v>247</v>
      </c>
      <c r="I7" s="76" t="s">
        <v>248</v>
      </c>
      <c r="J7" s="76" t="s">
        <v>249</v>
      </c>
    </row>
    <row r="8" customFormat="false" ht="21.75" hidden="false" customHeight="true" outlineLevel="0" collapsed="false">
      <c r="A8" s="15" t="s">
        <v>250</v>
      </c>
      <c r="B8" s="77" t="n">
        <v>380</v>
      </c>
      <c r="C8" s="77" t="n">
        <v>320</v>
      </c>
      <c r="D8" s="77" t="n">
        <v>200.7</v>
      </c>
      <c r="E8" s="77" t="n">
        <v>38.2</v>
      </c>
      <c r="F8" s="78" t="s">
        <v>251</v>
      </c>
      <c r="G8" s="78" t="s">
        <v>252</v>
      </c>
      <c r="H8" s="78" t="s">
        <v>253</v>
      </c>
      <c r="I8" s="78" t="s">
        <v>254</v>
      </c>
      <c r="J8" s="78" t="s">
        <v>255</v>
      </c>
    </row>
    <row r="9" customFormat="false" ht="21.75" hidden="false" customHeight="true" outlineLevel="0" collapsed="false">
      <c r="A9" s="17" t="s">
        <v>256</v>
      </c>
      <c r="B9" s="75" t="n">
        <v>115</v>
      </c>
      <c r="C9" s="75" t="n">
        <v>140</v>
      </c>
      <c r="D9" s="75" t="n">
        <v>86.9</v>
      </c>
      <c r="E9" s="75" t="n">
        <v>9.4</v>
      </c>
      <c r="F9" s="76" t="s">
        <v>251</v>
      </c>
      <c r="G9" s="76" t="s">
        <v>257</v>
      </c>
      <c r="H9" s="76" t="s">
        <v>258</v>
      </c>
      <c r="I9" s="76" t="s">
        <v>259</v>
      </c>
      <c r="J9" s="76" t="s">
        <v>260</v>
      </c>
    </row>
    <row r="11" customFormat="false" ht="19.5" hidden="false" customHeight="true" outlineLevel="0" collapsed="false">
      <c r="A11" s="79" t="s">
        <v>261</v>
      </c>
      <c r="B11" s="80" t="n">
        <f aca="false">MIN(B5:B9)</f>
        <v>115</v>
      </c>
      <c r="C11" s="80" t="n">
        <f aca="false">MIN(C5:C9)</f>
        <v>140</v>
      </c>
      <c r="D11" s="80" t="n">
        <f aca="false">MIN(D5:D9)</f>
        <v>86.9</v>
      </c>
      <c r="E11" s="80" t="n">
        <f aca="false">MIN(E5:E9)</f>
        <v>9.4</v>
      </c>
      <c r="F11" s="81" t="s">
        <v>251</v>
      </c>
      <c r="G11" s="81" t="s">
        <v>252</v>
      </c>
      <c r="H11" s="81" t="s">
        <v>258</v>
      </c>
      <c r="I11" s="82"/>
    </row>
    <row r="12" customFormat="false" ht="19.5" hidden="false" customHeight="true" outlineLevel="0" collapsed="false">
      <c r="A12" s="79" t="s">
        <v>262</v>
      </c>
      <c r="B12" s="80" t="n">
        <f aca="false">AVERAGE(B5:B9)</f>
        <v>1399</v>
      </c>
      <c r="C12" s="80" t="n">
        <f aca="false">AVERAGE(C5:C9)</f>
        <v>1380</v>
      </c>
      <c r="D12" s="80" t="n">
        <f aca="false">AVERAGE(D5:D9)</f>
        <v>193.3</v>
      </c>
      <c r="E12" s="80" t="n">
        <f aca="false">AVERAGE(E5:E9)</f>
        <v>59.88</v>
      </c>
      <c r="F12" s="81" t="s">
        <v>239</v>
      </c>
      <c r="G12" s="81" t="s">
        <v>263</v>
      </c>
      <c r="H12" s="81" t="s">
        <v>241</v>
      </c>
      <c r="I12" s="82"/>
    </row>
    <row r="13" customFormat="false" ht="19.5" hidden="false" customHeight="true" outlineLevel="0" collapsed="false">
      <c r="A13" s="79" t="s">
        <v>264</v>
      </c>
      <c r="B13" s="80" t="n">
        <f aca="false">MEDIAN(B5:B9)</f>
        <v>1350</v>
      </c>
      <c r="C13" s="80" t="n">
        <f aca="false">MEDIAN(C5:C9)</f>
        <v>1300</v>
      </c>
      <c r="D13" s="80" t="n">
        <f aca="false">MEDIAN(D5:D9)</f>
        <v>200.7</v>
      </c>
      <c r="E13" s="80" t="n">
        <f aca="false">MEDIAN(E5:E9)</f>
        <v>56.3</v>
      </c>
      <c r="F13" s="81" t="s">
        <v>265</v>
      </c>
      <c r="G13" s="81" t="s">
        <v>265</v>
      </c>
      <c r="H13" s="81" t="s">
        <v>265</v>
      </c>
      <c r="I13" s="82"/>
    </row>
    <row r="14" customFormat="false" ht="19.5" hidden="false" customHeight="true" outlineLevel="0" collapsed="false">
      <c r="A14" s="79" t="s">
        <v>266</v>
      </c>
      <c r="B14" s="80" t="n">
        <f aca="false">MAX(B5:B9)</f>
        <v>3100</v>
      </c>
      <c r="C14" s="80" t="n">
        <f aca="false">MAX(C5:C9)</f>
        <v>3150</v>
      </c>
      <c r="D14" s="80" t="n">
        <f aca="false">MAX(D5:D9)</f>
        <v>307.4</v>
      </c>
      <c r="E14" s="80" t="n">
        <f aca="false">MAX(E5:E9)</f>
        <v>103.5</v>
      </c>
      <c r="F14" s="81" t="s">
        <v>233</v>
      </c>
      <c r="G14" s="81" t="s">
        <v>234</v>
      </c>
      <c r="H14" s="81" t="s">
        <v>235</v>
      </c>
      <c r="I14" s="82"/>
    </row>
    <row r="16" customFormat="false" ht="7.5" hidden="false" customHeight="true" outlineLevel="0" collapsed="false"/>
    <row r="17" customFormat="false" ht="21.75" hidden="false" customHeight="true" outlineLevel="0" collapsed="false">
      <c r="A17" s="13" t="s">
        <v>267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9.5" hidden="false" customHeight="true" outlineLevel="0" collapsed="false">
      <c r="A18" s="5" t="s">
        <v>268</v>
      </c>
      <c r="B18" s="5"/>
      <c r="C18" s="5"/>
      <c r="D18" s="5"/>
      <c r="E18" s="83" t="n">
        <v>385.6</v>
      </c>
      <c r="F18" s="83"/>
      <c r="G18" s="83"/>
      <c r="H18" s="83"/>
      <c r="I18" s="83"/>
      <c r="J18" s="83"/>
    </row>
    <row r="19" customFormat="false" ht="19.5" hidden="false" customHeight="true" outlineLevel="0" collapsed="false">
      <c r="A19" s="11" t="s">
        <v>269</v>
      </c>
      <c r="B19" s="11"/>
      <c r="C19" s="11"/>
      <c r="D19" s="11"/>
      <c r="E19" s="83" t="n">
        <v>125.8</v>
      </c>
      <c r="F19" s="83"/>
      <c r="G19" s="83"/>
      <c r="H19" s="83"/>
      <c r="I19" s="83"/>
      <c r="J19" s="83"/>
    </row>
    <row r="20" customFormat="false" ht="19.5" hidden="false" customHeight="true" outlineLevel="0" collapsed="false">
      <c r="A20" s="5" t="s">
        <v>270</v>
      </c>
      <c r="B20" s="5"/>
      <c r="C20" s="5"/>
      <c r="D20" s="5"/>
      <c r="E20" s="84" t="s">
        <v>239</v>
      </c>
      <c r="F20" s="84"/>
      <c r="G20" s="84"/>
      <c r="H20" s="84"/>
      <c r="I20" s="84"/>
      <c r="J20" s="84"/>
    </row>
    <row r="21" customFormat="false" ht="19.5" hidden="false" customHeight="true" outlineLevel="0" collapsed="false">
      <c r="A21" s="11" t="s">
        <v>271</v>
      </c>
      <c r="B21" s="11"/>
      <c r="C21" s="11"/>
      <c r="D21" s="11"/>
      <c r="E21" s="85" t="s">
        <v>240</v>
      </c>
      <c r="F21" s="85"/>
      <c r="G21" s="85"/>
      <c r="H21" s="85"/>
      <c r="I21" s="85"/>
      <c r="J21" s="85"/>
    </row>
    <row r="22" customFormat="false" ht="19.5" hidden="false" customHeight="true" outlineLevel="0" collapsed="false">
      <c r="A22" s="5" t="s">
        <v>272</v>
      </c>
      <c r="B22" s="5"/>
      <c r="C22" s="5"/>
      <c r="D22" s="5"/>
      <c r="E22" s="83" t="n">
        <v>2506.4</v>
      </c>
      <c r="F22" s="83"/>
      <c r="G22" s="83"/>
      <c r="H22" s="83"/>
      <c r="I22" s="83"/>
      <c r="J22" s="83"/>
    </row>
    <row r="23" customFormat="false" ht="19.5" hidden="false" customHeight="true" outlineLevel="0" collapsed="false">
      <c r="A23" s="11" t="s">
        <v>273</v>
      </c>
      <c r="B23" s="11"/>
      <c r="C23" s="11"/>
      <c r="D23" s="11"/>
      <c r="E23" s="83" t="n">
        <v>2717.28</v>
      </c>
      <c r="F23" s="83"/>
      <c r="G23" s="83"/>
      <c r="H23" s="83"/>
      <c r="I23" s="83"/>
      <c r="J23" s="83"/>
    </row>
    <row r="24" customFormat="false" ht="19.5" hidden="false" customHeight="true" outlineLevel="0" collapsed="false">
      <c r="A24" s="5" t="s">
        <v>274</v>
      </c>
      <c r="B24" s="5"/>
      <c r="C24" s="5"/>
      <c r="D24" s="5"/>
      <c r="E24" s="83" t="n">
        <v>-65.7</v>
      </c>
      <c r="F24" s="83"/>
      <c r="G24" s="83"/>
      <c r="H24" s="83"/>
      <c r="I24" s="83"/>
      <c r="J24" s="83"/>
    </row>
    <row r="25" customFormat="false" ht="19.5" hidden="false" customHeight="true" outlineLevel="0" collapsed="false">
      <c r="A25" s="11" t="s">
        <v>275</v>
      </c>
      <c r="B25" s="11"/>
      <c r="C25" s="11"/>
      <c r="D25" s="11"/>
      <c r="E25" s="83" t="n">
        <v>2440.7</v>
      </c>
      <c r="F25" s="83"/>
      <c r="G25" s="83"/>
      <c r="H25" s="83"/>
      <c r="I25" s="83"/>
      <c r="J25" s="83"/>
    </row>
    <row r="26" customFormat="false" ht="19.5" hidden="false" customHeight="true" outlineLevel="0" collapsed="false">
      <c r="A26" s="5" t="s">
        <v>276</v>
      </c>
      <c r="B26" s="5"/>
      <c r="C26" s="5"/>
      <c r="D26" s="5"/>
      <c r="E26" s="83" t="n">
        <v>2651.58</v>
      </c>
      <c r="F26" s="83"/>
      <c r="G26" s="83"/>
      <c r="H26" s="83"/>
      <c r="I26" s="83"/>
      <c r="J26" s="83"/>
    </row>
    <row r="27" customFormat="false" ht="19.5" hidden="false" customHeight="true" outlineLevel="0" collapsed="false">
      <c r="A27" s="11" t="s">
        <v>277</v>
      </c>
      <c r="B27" s="11"/>
      <c r="C27" s="11"/>
      <c r="D27" s="11"/>
      <c r="E27" s="86" t="n">
        <v>15.441</v>
      </c>
      <c r="F27" s="86"/>
      <c r="G27" s="86"/>
      <c r="H27" s="86"/>
      <c r="I27" s="86"/>
      <c r="J27" s="86"/>
    </row>
    <row r="28" customFormat="false" ht="19.5" hidden="false" customHeight="true" outlineLevel="0" collapsed="false">
      <c r="A28" s="79" t="s">
        <v>278</v>
      </c>
      <c r="B28" s="79"/>
      <c r="C28" s="79"/>
      <c r="D28" s="79"/>
      <c r="E28" s="87" t="n">
        <v>158.066187423094</v>
      </c>
      <c r="F28" s="87"/>
      <c r="G28" s="87"/>
      <c r="H28" s="87"/>
      <c r="I28" s="87"/>
      <c r="J28" s="87"/>
    </row>
    <row r="29" customFormat="false" ht="19.5" hidden="false" customHeight="true" outlineLevel="0" collapsed="false">
      <c r="A29" s="79" t="s">
        <v>279</v>
      </c>
      <c r="B29" s="79"/>
      <c r="C29" s="79"/>
      <c r="D29" s="79"/>
      <c r="E29" s="87" t="n">
        <v>171.72333398096</v>
      </c>
      <c r="F29" s="87"/>
      <c r="G29" s="87"/>
      <c r="H29" s="87"/>
      <c r="I29" s="87"/>
      <c r="J29" s="87"/>
    </row>
  </sheetData>
  <mergeCells count="27">
    <mergeCell ref="A1:J1"/>
    <mergeCell ref="A2:J2"/>
    <mergeCell ref="A17:J17"/>
    <mergeCell ref="A18:D18"/>
    <mergeCell ref="E18:J18"/>
    <mergeCell ref="A19:D19"/>
    <mergeCell ref="E19:J19"/>
    <mergeCell ref="A20:D20"/>
    <mergeCell ref="E20:J20"/>
    <mergeCell ref="A21:D21"/>
    <mergeCell ref="E21:J21"/>
    <mergeCell ref="A22:D22"/>
    <mergeCell ref="E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14"/>
  </cols>
  <sheetData>
    <row r="1" customFormat="false" ht="30" hidden="false" customHeight="true" outlineLevel="0" collapsed="false">
      <c r="A1" s="31" t="s">
        <v>280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7.5" hidden="false" customHeight="true" outlineLevel="0" collapsed="false"/>
    <row r="3" customFormat="false" ht="21.75" hidden="false" customHeight="true" outlineLevel="0" collapsed="false">
      <c r="A3" s="56" t="s">
        <v>281</v>
      </c>
      <c r="B3" s="56"/>
      <c r="C3" s="56"/>
      <c r="D3" s="56"/>
      <c r="E3" s="56"/>
      <c r="F3" s="56"/>
      <c r="G3" s="56"/>
      <c r="H3" s="56"/>
      <c r="I3" s="56"/>
      <c r="J3" s="56"/>
    </row>
    <row r="4" customFormat="false" ht="19.5" hidden="false" customHeight="true" outlineLevel="0" collapsed="false">
      <c r="A4" s="88" t="s">
        <v>282</v>
      </c>
      <c r="B4" s="89" t="n">
        <v>0.085</v>
      </c>
      <c r="C4" s="89" t="n">
        <v>0.09</v>
      </c>
      <c r="D4" s="89" t="n">
        <v>0.095</v>
      </c>
      <c r="E4" s="89" t="n">
        <v>0.1</v>
      </c>
      <c r="F4" s="89" t="n">
        <v>0.105</v>
      </c>
      <c r="G4" s="89" t="n">
        <v>0.11</v>
      </c>
      <c r="H4" s="89" t="n">
        <v>0.115</v>
      </c>
    </row>
    <row r="5" customFormat="false" ht="21.75" hidden="false" customHeight="true" outlineLevel="0" collapsed="false">
      <c r="A5" s="90" t="n">
        <v>0.015</v>
      </c>
      <c r="B5" s="91" t="n">
        <v>95.46</v>
      </c>
      <c r="C5" s="91" t="n">
        <v>89.26</v>
      </c>
      <c r="D5" s="91" t="n">
        <v>83.87</v>
      </c>
      <c r="E5" s="91" t="n">
        <v>79.15</v>
      </c>
      <c r="F5" s="91" t="n">
        <v>74.98</v>
      </c>
      <c r="G5" s="91" t="n">
        <v>71.29</v>
      </c>
      <c r="H5" s="91" t="n">
        <v>67.99</v>
      </c>
    </row>
    <row r="6" customFormat="false" ht="21.75" hidden="false" customHeight="true" outlineLevel="0" collapsed="false">
      <c r="A6" s="90" t="n">
        <v>0.02</v>
      </c>
      <c r="B6" s="91" t="n">
        <v>101.26</v>
      </c>
      <c r="C6" s="91" t="n">
        <v>94.19</v>
      </c>
      <c r="D6" s="91" t="n">
        <v>88.11</v>
      </c>
      <c r="E6" s="91" t="n">
        <v>82.82</v>
      </c>
      <c r="F6" s="91" t="n">
        <v>78.19</v>
      </c>
      <c r="G6" s="91" t="n">
        <v>74.11</v>
      </c>
      <c r="H6" s="91" t="n">
        <v>70.48</v>
      </c>
    </row>
    <row r="7" customFormat="false" ht="21.75" hidden="false" customHeight="true" outlineLevel="0" collapsed="false">
      <c r="A7" s="90" t="n">
        <v>0.025</v>
      </c>
      <c r="B7" s="91" t="n">
        <v>108.03</v>
      </c>
      <c r="C7" s="91" t="n">
        <v>99.89</v>
      </c>
      <c r="D7" s="91" t="n">
        <v>92.96</v>
      </c>
      <c r="E7" s="91" t="n">
        <v>86.99</v>
      </c>
      <c r="F7" s="91" t="n">
        <v>81.8</v>
      </c>
      <c r="G7" s="91" t="n">
        <v>77.26</v>
      </c>
      <c r="H7" s="91" t="n">
        <v>73.25</v>
      </c>
    </row>
    <row r="8" customFormat="false" ht="21.75" hidden="false" customHeight="true" outlineLevel="0" collapsed="false">
      <c r="A8" s="90" t="n">
        <v>0.03</v>
      </c>
      <c r="B8" s="91" t="n">
        <v>116.03</v>
      </c>
      <c r="C8" s="91" t="n">
        <v>106.54</v>
      </c>
      <c r="D8" s="91" t="n">
        <v>98.55</v>
      </c>
      <c r="E8" s="92" t="n">
        <v>91.75</v>
      </c>
      <c r="F8" s="91" t="n">
        <v>85.89</v>
      </c>
      <c r="G8" s="91" t="n">
        <v>80.8</v>
      </c>
      <c r="H8" s="91" t="n">
        <v>76.34</v>
      </c>
    </row>
    <row r="9" customFormat="false" ht="21.75" hidden="false" customHeight="true" outlineLevel="0" collapsed="false">
      <c r="A9" s="90" t="n">
        <v>0.035</v>
      </c>
      <c r="B9" s="91" t="n">
        <v>125.63</v>
      </c>
      <c r="C9" s="91" t="n">
        <v>114.39</v>
      </c>
      <c r="D9" s="91" t="n">
        <v>105.08</v>
      </c>
      <c r="E9" s="91" t="n">
        <v>97.24</v>
      </c>
      <c r="F9" s="91" t="n">
        <v>90.57</v>
      </c>
      <c r="G9" s="91" t="n">
        <v>84.82</v>
      </c>
      <c r="H9" s="91" t="n">
        <v>79.83</v>
      </c>
    </row>
    <row r="10" customFormat="false" ht="21.75" hidden="false" customHeight="true" outlineLevel="0" collapsed="false">
      <c r="A10" s="90" t="n">
        <v>0.04</v>
      </c>
      <c r="B10" s="93" t="n">
        <v>137.37</v>
      </c>
      <c r="C10" s="91" t="n">
        <v>123.82</v>
      </c>
      <c r="D10" s="91" t="n">
        <v>112.79</v>
      </c>
      <c r="E10" s="91" t="n">
        <v>103.65</v>
      </c>
      <c r="F10" s="91" t="n">
        <v>95.96</v>
      </c>
      <c r="G10" s="91" t="n">
        <v>89.41</v>
      </c>
      <c r="H10" s="91" t="n">
        <v>83.77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14" t="s">
        <v>283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9.5" hidden="false" customHeight="true" outlineLevel="0" collapsed="false">
      <c r="A14" s="94" t="s">
        <v>284</v>
      </c>
      <c r="B14" s="94"/>
      <c r="C14" s="95" t="s">
        <v>285</v>
      </c>
      <c r="D14" s="95"/>
      <c r="E14" s="96" t="s">
        <v>286</v>
      </c>
      <c r="F14" s="96"/>
      <c r="G14" s="97" t="s">
        <v>287</v>
      </c>
      <c r="H14" s="97"/>
      <c r="I14" s="98" t="s">
        <v>288</v>
      </c>
      <c r="J14" s="98"/>
    </row>
    <row r="16" customFormat="false" ht="7.5" hidden="false" customHeight="true" outlineLevel="0" collapsed="false"/>
    <row r="17" customFormat="false" ht="21.75" hidden="false" customHeight="true" outlineLevel="0" collapsed="false">
      <c r="A17" s="56" t="s">
        <v>289</v>
      </c>
      <c r="B17" s="56"/>
      <c r="C17" s="56"/>
      <c r="D17" s="56"/>
      <c r="E17" s="56"/>
      <c r="F17" s="56"/>
      <c r="G17" s="56"/>
      <c r="H17" s="56"/>
    </row>
    <row r="18" customFormat="false" ht="19.5" hidden="false" customHeight="true" outlineLevel="0" collapsed="false">
      <c r="A18" s="88" t="s">
        <v>290</v>
      </c>
      <c r="B18" s="89" t="n">
        <v>0.085</v>
      </c>
      <c r="C18" s="89" t="n">
        <v>0.09</v>
      </c>
      <c r="D18" s="89" t="n">
        <v>0.095</v>
      </c>
      <c r="E18" s="89" t="n">
        <v>0.1</v>
      </c>
      <c r="F18" s="89" t="n">
        <v>0.105</v>
      </c>
      <c r="G18" s="89" t="n">
        <v>0.11</v>
      </c>
    </row>
    <row r="19" customFormat="false" ht="21.75" hidden="false" customHeight="true" outlineLevel="0" collapsed="false">
      <c r="A19" s="99" t="s">
        <v>291</v>
      </c>
      <c r="B19" s="91" t="n">
        <v>116.54</v>
      </c>
      <c r="C19" s="91" t="n">
        <v>114.46</v>
      </c>
      <c r="D19" s="91" t="n">
        <v>112.43</v>
      </c>
      <c r="E19" s="91" t="n">
        <v>110.46</v>
      </c>
      <c r="F19" s="91" t="n">
        <v>108.54</v>
      </c>
      <c r="G19" s="91" t="n">
        <v>106.67</v>
      </c>
    </row>
    <row r="20" customFormat="false" ht="21.75" hidden="false" customHeight="true" outlineLevel="0" collapsed="false">
      <c r="A20" s="99" t="s">
        <v>292</v>
      </c>
      <c r="B20" s="91" t="n">
        <v>128</v>
      </c>
      <c r="C20" s="91" t="n">
        <v>125.65</v>
      </c>
      <c r="D20" s="91" t="n">
        <v>123.37</v>
      </c>
      <c r="E20" s="91" t="n">
        <v>121.16</v>
      </c>
      <c r="F20" s="91" t="n">
        <v>119</v>
      </c>
      <c r="G20" s="91" t="n">
        <v>116.9</v>
      </c>
    </row>
    <row r="21" customFormat="false" ht="21.75" hidden="false" customHeight="true" outlineLevel="0" collapsed="false">
      <c r="A21" s="99" t="s">
        <v>293</v>
      </c>
      <c r="B21" s="93" t="n">
        <v>139.45</v>
      </c>
      <c r="C21" s="93" t="n">
        <v>136.85</v>
      </c>
      <c r="D21" s="93" t="n">
        <v>134.32</v>
      </c>
      <c r="E21" s="93" t="n">
        <v>131.85</v>
      </c>
      <c r="F21" s="91" t="n">
        <v>129.45</v>
      </c>
      <c r="G21" s="91" t="n">
        <v>127.12</v>
      </c>
    </row>
    <row r="22" customFormat="false" ht="21.75" hidden="false" customHeight="true" outlineLevel="0" collapsed="false">
      <c r="A22" s="99" t="s">
        <v>294</v>
      </c>
      <c r="B22" s="93" t="n">
        <v>150.91</v>
      </c>
      <c r="C22" s="93" t="n">
        <v>148.05</v>
      </c>
      <c r="D22" s="93" t="n">
        <v>145.26</v>
      </c>
      <c r="E22" s="100" t="n">
        <v>142.55</v>
      </c>
      <c r="F22" s="93" t="n">
        <v>139.91</v>
      </c>
      <c r="G22" s="93" t="n">
        <v>137.34</v>
      </c>
    </row>
    <row r="23" customFormat="false" ht="21.75" hidden="false" customHeight="true" outlineLevel="0" collapsed="false">
      <c r="A23" s="99" t="s">
        <v>295</v>
      </c>
      <c r="B23" s="93" t="n">
        <v>162.37</v>
      </c>
      <c r="C23" s="93" t="n">
        <v>159.24</v>
      </c>
      <c r="D23" s="93" t="n">
        <v>156.2</v>
      </c>
      <c r="E23" s="93" t="n">
        <v>153.25</v>
      </c>
      <c r="F23" s="93" t="n">
        <v>150.37</v>
      </c>
      <c r="G23" s="93" t="n">
        <v>147.57</v>
      </c>
    </row>
    <row r="24" customFormat="false" ht="21.75" hidden="false" customHeight="true" outlineLevel="0" collapsed="false">
      <c r="A24" s="99" t="s">
        <v>296</v>
      </c>
      <c r="B24" s="101" t="n">
        <v>173.82</v>
      </c>
      <c r="C24" s="101" t="n">
        <v>170.44</v>
      </c>
      <c r="D24" s="93" t="n">
        <v>167.15</v>
      </c>
      <c r="E24" s="93" t="n">
        <v>163.94</v>
      </c>
      <c r="F24" s="93" t="n">
        <v>160.82</v>
      </c>
      <c r="G24" s="93" t="n">
        <v>157.79</v>
      </c>
    </row>
    <row r="25" customFormat="false" ht="21.75" hidden="false" customHeight="true" outlineLevel="0" collapsed="false">
      <c r="A25" s="99" t="s">
        <v>297</v>
      </c>
      <c r="B25" s="101" t="n">
        <v>185.28</v>
      </c>
      <c r="C25" s="101" t="n">
        <v>181.64</v>
      </c>
      <c r="D25" s="101" t="n">
        <v>178.09</v>
      </c>
      <c r="E25" s="101" t="n">
        <v>174.64</v>
      </c>
      <c r="F25" s="101" t="n">
        <v>171.28</v>
      </c>
      <c r="G25" s="93" t="n">
        <v>168.01</v>
      </c>
    </row>
  </sheetData>
  <mergeCells count="9">
    <mergeCell ref="A1:J1"/>
    <mergeCell ref="A3:J3"/>
    <mergeCell ref="A13:J13"/>
    <mergeCell ref="A14:B14"/>
    <mergeCell ref="C14:D14"/>
    <mergeCell ref="E14:F14"/>
    <mergeCell ref="G14:H14"/>
    <mergeCell ref="I14:J14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2026-03-05T19:22:29Z</dcterms:created>
  <dc:creator>openpyxl</dc:creator>
  <dc:description/>
  <dc:language>en-US</dc:language>
  <cp:lastModifiedBy/>
  <dcterms:modified xsi:type="dcterms:W3CDTF">2026-03-05T19:24:24Z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